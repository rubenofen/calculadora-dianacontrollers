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ianacontrollers-my.sharepoint.com/personal/diana_pro_dianacontrollers_com/Documents/03 DC - INTERNAL MANAGEMENT/HERRAMIENTAS PARA CLIENTES/"/>
    </mc:Choice>
  </mc:AlternateContent>
  <xr:revisionPtr revIDLastSave="20" documentId="11_97305C2AA86F0A75B902DD1655569E0C99717751" xr6:coauthVersionLast="47" xr6:coauthVersionMax="47" xr10:uidLastSave="{1EF07477-ED92-462A-8162-21DC73913B42}"/>
  <bookViews>
    <workbookView xWindow="35460" yWindow="1965" windowWidth="14400" windowHeight="8175" tabRatio="500" activeTab="1" xr2:uid="{00000000-000D-0000-FFFF-FFFF00000000}"/>
  </bookViews>
  <sheets>
    <sheet name="🏠 Portada" sheetId="1" r:id="rId1"/>
    <sheet name="👥 Equipo" sheetId="2" r:id="rId2"/>
    <sheet name="📚 Formaciones" sheetId="3" r:id="rId3"/>
    <sheet name="🤝 Consultoría" sheetId="4" r:id="rId4"/>
    <sheet name="⚙️ Ingeniería" sheetId="5" r:id="rId5"/>
    <sheet name="📦 Producto" sheetId="6" r:id="rId6"/>
    <sheet name="📊 Resume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7" l="1"/>
  <c r="C19" i="7"/>
  <c r="D18" i="7"/>
  <c r="C18" i="7"/>
  <c r="D17" i="7"/>
  <c r="C17" i="7"/>
  <c r="D16" i="7"/>
  <c r="C16" i="7"/>
  <c r="D10" i="7"/>
  <c r="D9" i="7"/>
  <c r="D8" i="7"/>
  <c r="D7" i="7"/>
  <c r="E77" i="6"/>
  <c r="E69" i="6"/>
  <c r="E64" i="6"/>
  <c r="E60" i="6"/>
  <c r="E59" i="6"/>
  <c r="E82" i="6" s="1"/>
  <c r="E50" i="6"/>
  <c r="E51" i="6" s="1"/>
  <c r="E39" i="6"/>
  <c r="E26" i="6"/>
  <c r="E27" i="6" s="1"/>
  <c r="E17" i="6"/>
  <c r="E10" i="6"/>
  <c r="E33" i="6" s="1"/>
  <c r="E81" i="6" s="1"/>
  <c r="E109" i="5"/>
  <c r="E96" i="5"/>
  <c r="E97" i="5" s="1"/>
  <c r="E89" i="5"/>
  <c r="E120" i="5" s="1"/>
  <c r="E82" i="5"/>
  <c r="E77" i="5"/>
  <c r="E78" i="5" s="1"/>
  <c r="E66" i="5"/>
  <c r="E57" i="5"/>
  <c r="E58" i="5" s="1"/>
  <c r="E44" i="5"/>
  <c r="E24" i="5"/>
  <c r="E21" i="5"/>
  <c r="E18" i="5"/>
  <c r="E15" i="5"/>
  <c r="E12" i="5"/>
  <c r="E25" i="5" s="1"/>
  <c r="E8" i="5"/>
  <c r="E108" i="4"/>
  <c r="E96" i="4"/>
  <c r="E95" i="4"/>
  <c r="E88" i="4"/>
  <c r="E119" i="4" s="1"/>
  <c r="E81" i="4"/>
  <c r="E76" i="4"/>
  <c r="E77" i="4" s="1"/>
  <c r="E65" i="4"/>
  <c r="E56" i="4"/>
  <c r="E57" i="4" s="1"/>
  <c r="E43" i="4"/>
  <c r="E24" i="4"/>
  <c r="E21" i="4"/>
  <c r="E18" i="4"/>
  <c r="E15" i="4"/>
  <c r="E12" i="4"/>
  <c r="E25" i="4" s="1"/>
  <c r="E8" i="4"/>
  <c r="E32" i="4" s="1"/>
  <c r="E108" i="3"/>
  <c r="E95" i="3"/>
  <c r="E96" i="3" s="1"/>
  <c r="E88" i="3"/>
  <c r="E119" i="3" s="1"/>
  <c r="E81" i="3"/>
  <c r="E77" i="3"/>
  <c r="E76" i="3"/>
  <c r="E65" i="3"/>
  <c r="E56" i="3"/>
  <c r="E57" i="3" s="1"/>
  <c r="E43" i="3"/>
  <c r="E24" i="3"/>
  <c r="E21" i="3"/>
  <c r="E18" i="3"/>
  <c r="E15" i="3"/>
  <c r="E12" i="3"/>
  <c r="E25" i="3" s="1"/>
  <c r="E32" i="3" s="1"/>
  <c r="E8" i="3"/>
  <c r="G17" i="2"/>
  <c r="E36" i="5" s="1"/>
  <c r="F15" i="2"/>
  <c r="F14" i="2"/>
  <c r="F13" i="2"/>
  <c r="F12" i="2"/>
  <c r="F11" i="2"/>
  <c r="F10" i="2"/>
  <c r="F9" i="2"/>
  <c r="F8" i="2"/>
  <c r="F17" i="2" s="1"/>
  <c r="E33" i="5" l="1"/>
  <c r="E40" i="6"/>
  <c r="E72" i="6" s="1"/>
  <c r="E73" i="6" s="1"/>
  <c r="E74" i="6" s="1"/>
  <c r="E75" i="6" s="1"/>
  <c r="E76" i="6" s="1"/>
  <c r="E45" i="5"/>
  <c r="E46" i="5"/>
  <c r="E45" i="3"/>
  <c r="F20" i="2"/>
  <c r="E45" i="4"/>
  <c r="E35" i="3"/>
  <c r="E44" i="3" s="1"/>
  <c r="E35" i="4"/>
  <c r="E44" i="4" s="1"/>
  <c r="F21" i="2"/>
  <c r="E47" i="3" l="1"/>
  <c r="E59" i="3" s="1"/>
  <c r="E47" i="4"/>
  <c r="E59" i="4" s="1"/>
  <c r="E48" i="5"/>
  <c r="E60" i="5" s="1"/>
  <c r="E86" i="6"/>
  <c r="E85" i="6"/>
  <c r="E78" i="6"/>
  <c r="E79" i="6" s="1"/>
  <c r="E87" i="6" l="1"/>
  <c r="E114" i="5"/>
  <c r="E67" i="5"/>
  <c r="E104" i="5" s="1"/>
  <c r="E105" i="5" s="1"/>
  <c r="E106" i="5" s="1"/>
  <c r="E113" i="3"/>
  <c r="E66" i="3"/>
  <c r="E103" i="3" s="1"/>
  <c r="E104" i="3" s="1"/>
  <c r="E105" i="3" s="1"/>
  <c r="E113" i="4"/>
  <c r="E66" i="4"/>
  <c r="E103" i="4" s="1"/>
  <c r="E104" i="4" s="1"/>
  <c r="E105" i="4" s="1"/>
  <c r="E106" i="4" l="1"/>
  <c r="E107" i="4" s="1"/>
  <c r="E106" i="3"/>
  <c r="E107" i="3" s="1"/>
  <c r="E107" i="5"/>
  <c r="E108" i="5" s="1"/>
  <c r="E109" i="3" l="1"/>
  <c r="E110" i="3" s="1"/>
  <c r="E117" i="3"/>
  <c r="E118" i="5"/>
  <c r="E110" i="5"/>
  <c r="E111" i="5" s="1"/>
  <c r="E117" i="4"/>
  <c r="E109" i="4"/>
  <c r="E110" i="4" s="1"/>
  <c r="E116" i="4" l="1"/>
  <c r="E112" i="4"/>
  <c r="E118" i="4"/>
  <c r="E119" i="5"/>
  <c r="E117" i="5"/>
  <c r="E113" i="5"/>
  <c r="E118" i="3"/>
  <c r="E116" i="3"/>
  <c r="E112" i="3"/>
</calcChain>
</file>

<file path=xl/sharedStrings.xml><?xml version="1.0" encoding="utf-8"?>
<sst xmlns="http://schemas.openxmlformats.org/spreadsheetml/2006/main" count="789" uniqueCount="256">
  <si>
    <t>CALCULADORA DE PRECIOS</t>
  </si>
  <si>
    <t>Herramienta para fijar el precio justo de tus servicios y productos</t>
  </si>
  <si>
    <t>DATOS DE TU NEGOCIO</t>
  </si>
  <si>
    <t>Nombre del negocio / freelancer</t>
  </si>
  <si>
    <t>Tu Nombre o Empresa</t>
  </si>
  <si>
    <t>Sector</t>
  </si>
  <si>
    <t>Ej: Consultoría, Formación, Ingeniería…</t>
  </si>
  <si>
    <t>Moneda</t>
  </si>
  <si>
    <t>EUR</t>
  </si>
  <si>
    <t>IVA general aplicable (%)</t>
  </si>
  <si>
    <t>Fecha de actualización</t>
  </si>
  <si>
    <t>09/06/2026</t>
  </si>
  <si>
    <t>PESTAÑAS DISPONIBLES</t>
  </si>
  <si>
    <t>👥 Equipo</t>
  </si>
  <si>
    <t>Define tu equipo, tarifas y capacidad facturable mensual.</t>
  </si>
  <si>
    <t>📚 Formaciones</t>
  </si>
  <si>
    <t>Calcula el precio de cursos, talleres y formaciones.</t>
  </si>
  <si>
    <t>🤝 Consultoría</t>
  </si>
  <si>
    <t>Proyectos de consultoría estratégica y asesoramiento.</t>
  </si>
  <si>
    <t>⚙️ Ingeniería</t>
  </si>
  <si>
    <t>Proyectos técnicos, desarrollo e implementación.</t>
  </si>
  <si>
    <t>📦 Producto</t>
  </si>
  <si>
    <t>Productos físicos o digitales con margen comercial.</t>
  </si>
  <si>
    <t>📊 Resumen</t>
  </si>
  <si>
    <t>Comparativa de precios de todas las categorías.</t>
  </si>
  <si>
    <t>LEYENDA DE COLORES</t>
  </si>
  <si>
    <t xml:space="preserve">  ■ Ejemplo</t>
  </si>
  <si>
    <t>Celda de entrada  → Escribe tu dato aquí</t>
  </si>
  <si>
    <t>Fórmula calculada → No modificar</t>
  </si>
  <si>
    <t>Precio recomendado → Resultado final</t>
  </si>
  <si>
    <t>Dato clave → Requiere revisión</t>
  </si>
  <si>
    <t>Fórmula: Precio = Coste Total + Margen + Prima de Valor</t>
  </si>
  <si>
    <t>EQUIPO — CAPACIDAD Y COSTES</t>
  </si>
  <si>
    <t>Las horas facturables totales del equipo se usan automáticamente en todas las pestañas de servicio para prorratear los costes indirectos.</t>
  </si>
  <si>
    <t>Nombre / Rol</t>
  </si>
  <si>
    <t>Tipo</t>
  </si>
  <si>
    <t>Horas contratadas/mes</t>
  </si>
  <si>
    <t>% Tiempo facturable</t>
  </si>
  <si>
    <t>Horas facturables/mes</t>
  </si>
  <si>
    <t>Coste mensual (€)</t>
  </si>
  <si>
    <t>Propio/Colaborador</t>
  </si>
  <si>
    <t>h/mes</t>
  </si>
  <si>
    <t>%</t>
  </si>
  <si>
    <t>D × E</t>
  </si>
  <si>
    <t>€/mes</t>
  </si>
  <si>
    <t>Persona 1</t>
  </si>
  <si>
    <t>Propio</t>
  </si>
  <si>
    <t>Persona 2</t>
  </si>
  <si>
    <t>Persona 3</t>
  </si>
  <si>
    <t>Persona 4</t>
  </si>
  <si>
    <t>Persona 5</t>
  </si>
  <si>
    <t>Persona 6</t>
  </si>
  <si>
    <t>Persona 7</t>
  </si>
  <si>
    <t>Persona 8</t>
  </si>
  <si>
    <t>TOTALES DEL EQUIPO</t>
  </si>
  <si>
    <t>VALORES USADOS EN LAS CALCULADORAS</t>
  </si>
  <si>
    <t>Horas facturables totales/mes (equipo)</t>
  </si>
  <si>
    <t>Coste total mensual del equipo (nóminas)</t>
  </si>
  <si>
    <t>CALCULADORA DE PRECIOS — FORMACIONES</t>
  </si>
  <si>
    <t>A. COSTES DIRECTOS</t>
  </si>
  <si>
    <t>Personal propio (horas en este proyecto)</t>
  </si>
  <si>
    <t>Horas de trabajo propias</t>
  </si>
  <si>
    <t>h</t>
  </si>
  <si>
    <t>Tarifa hora propia (referencia)</t>
  </si>
  <si>
    <t>€/h</t>
  </si>
  <si>
    <t>Subtotal personal propio</t>
  </si>
  <si>
    <t>€</t>
  </si>
  <si>
    <t>Colaboradores / Proveedores externos (hasta 5)</t>
  </si>
  <si>
    <t>Colaborador 1 — horas</t>
  </si>
  <si>
    <t>Colaborador 1 — tarifa/hora</t>
  </si>
  <si>
    <t xml:space="preserve">  Subtotal colaborador 1</t>
  </si>
  <si>
    <t>Colaborador 2 — horas</t>
  </si>
  <si>
    <t>Colaborador 2 — tarifa/hora</t>
  </si>
  <si>
    <t xml:space="preserve">  Subtotal colaborador 2</t>
  </si>
  <si>
    <t>Colaborador 3 — horas</t>
  </si>
  <si>
    <t>Colaborador 3 — tarifa/hora</t>
  </si>
  <si>
    <t xml:space="preserve">  Subtotal colaborador 3</t>
  </si>
  <si>
    <t>Colaborador 4 — horas</t>
  </si>
  <si>
    <t>Colaborador 4 — tarifa/hora</t>
  </si>
  <si>
    <t xml:space="preserve">  Subtotal colaborador 4</t>
  </si>
  <si>
    <t>Colaborador 5 — horas</t>
  </si>
  <si>
    <t>Colaborador 5 — tarifa/hora</t>
  </si>
  <si>
    <t xml:space="preserve">  Subtotal colaborador 5</t>
  </si>
  <si>
    <t>Subtotal colaboradores (todos)</t>
  </si>
  <si>
    <t>Otros costes directos</t>
  </si>
  <si>
    <t>Herramientas y software</t>
  </si>
  <si>
    <t>Materiales / entregables</t>
  </si>
  <si>
    <t>Desplazamientos y dietas</t>
  </si>
  <si>
    <t>Sala / plataforma de formación</t>
  </si>
  <si>
    <t>Materiales pedagógicos / manuales</t>
  </si>
  <si>
    <t>TOTAL COSTES DIRECTOS (A)</t>
  </si>
  <si>
    <t>B. COSTES INDIRECTOS (estructura mensual prorrateada)</t>
  </si>
  <si>
    <t>Nóminas y costes de personal fijo (desde pestaña Equipo)</t>
  </si>
  <si>
    <t>Alquiler y suministros</t>
  </si>
  <si>
    <t>Seguros</t>
  </si>
  <si>
    <t>Cuota autónomos / costes societarios</t>
  </si>
  <si>
    <t>Contabilidad y asesoría</t>
  </si>
  <si>
    <t>Marketing y publicidad</t>
  </si>
  <si>
    <t>Formación y desarrollo profesional</t>
  </si>
  <si>
    <t>Herramientas de gestión</t>
  </si>
  <si>
    <t>Total indirectos/mes (sin nóminas)</t>
  </si>
  <si>
    <t>Total indirectos/mes (con nóminas)</t>
  </si>
  <si>
    <t>Horas facturables totales/mes (desde pestaña Equipo)</t>
  </si>
  <si>
    <t>Horas totales dedicadas a este proyecto</t>
  </si>
  <si>
    <t>TOTAL COSTES INDIRECTOS IMPUTADOS (B)</t>
  </si>
  <si>
    <t>C. TIEMPO NO FACTURABLE (coste oportunidad)</t>
  </si>
  <si>
    <t>Preparación</t>
  </si>
  <si>
    <t>Reuniones comerciales</t>
  </si>
  <si>
    <t>Administración</t>
  </si>
  <si>
    <t>Seguimiento post-entrega</t>
  </si>
  <si>
    <t>Atención al cliente</t>
  </si>
  <si>
    <t>Diseño y mejora de procesos</t>
  </si>
  <si>
    <t>Total horas no facturables</t>
  </si>
  <si>
    <t>COSTE TIEMPO NO FACTURABLE (C)</t>
  </si>
  <si>
    <t>COSTE BASE TOTAL (A+B+C)</t>
  </si>
  <si>
    <t>D. MARGEN DE BENEFICIO DESEADO</t>
  </si>
  <si>
    <t>Margen mínimo (%)</t>
  </si>
  <si>
    <t>Margen objetivo (%)</t>
  </si>
  <si>
    <t>Reserva para reinversión (%)</t>
  </si>
  <si>
    <t>Margen total aplicado (%)</t>
  </si>
  <si>
    <t>Precio con coste + margen</t>
  </si>
  <si>
    <t>E. VALOR APORTADO AL CLIENTE</t>
  </si>
  <si>
    <t>Evalúa del 1 (bajo) al 5 (muy alto). El factor ajusta el precio según el impacto generado.</t>
  </si>
  <si>
    <t>Problema crítico que resuelve (1-5)</t>
  </si>
  <si>
    <t>1-5</t>
  </si>
  <si>
    <t>Impacto económico generado (1-5)</t>
  </si>
  <si>
    <t>Ahorro de tiempo del cliente (1-5)</t>
  </si>
  <si>
    <t>Reducción de riesgos (1-5)</t>
  </si>
  <si>
    <t>Transformación / resultado obtenido (1-5)</t>
  </si>
  <si>
    <t>Nivel de especialización requerido (1-5)</t>
  </si>
  <si>
    <t>Puntuación media de valor</t>
  </si>
  <si>
    <t>/5</t>
  </si>
  <si>
    <t>Factor de valor (1.00 – 1.50)</t>
  </si>
  <si>
    <t>x</t>
  </si>
  <si>
    <t>F. POSICIONAMIENTO DE MARCA</t>
  </si>
  <si>
    <t>Posicionamiento (1=Accesible / 2=Intermedio / 3=Premium)</t>
  </si>
  <si>
    <t>1-3</t>
  </si>
  <si>
    <t>Factor posicionamiento (0.85 – 1.20)</t>
  </si>
  <si>
    <t>G. MERCADO Y COMPETENCIA</t>
  </si>
  <si>
    <t>Precio referencia competidor 1</t>
  </si>
  <si>
    <t>Precio referencia competidor 2</t>
  </si>
  <si>
    <t>Precio referencia competidor 3</t>
  </si>
  <si>
    <t>Disposición a pagar del cliente ideal</t>
  </si>
  <si>
    <t>Media precios de mercado</t>
  </si>
  <si>
    <t>H. RIESGO Y COMPLEJIDAD</t>
  </si>
  <si>
    <t>Grado de personalización (1-5)</t>
  </si>
  <si>
    <t>Responsabilidad asumida (1-5)</t>
  </si>
  <si>
    <t>Urgencia (1-5)</t>
  </si>
  <si>
    <t>Incertidumbre del proyecto (1-5)</t>
  </si>
  <si>
    <t>Puntuación media de riesgo</t>
  </si>
  <si>
    <t>Prima de riesgo (0% – 20%)</t>
  </si>
  <si>
    <t>I. FORMATO DE PRESTACIÓN</t>
  </si>
  <si>
    <t>Formato (1=Hora / 2=Sesión / 3=Proyecto / 4=Retainer / 5=Grupal)</t>
  </si>
  <si>
    <t>Nº de participantes / unidades (si aplica)</t>
  </si>
  <si>
    <t>uds</t>
  </si>
  <si>
    <t>📊 RESUMEN DE CÁLCULO</t>
  </si>
  <si>
    <t>① Precio base (coste + margen)</t>
  </si>
  <si>
    <t>② Ajuste por valor aportado</t>
  </si>
  <si>
    <t>③ Ajuste por posicionamiento</t>
  </si>
  <si>
    <t>④ Prima de riesgo (€)</t>
  </si>
  <si>
    <t>⑤ PRECIO RECOMENDADO (sin IVA)</t>
  </si>
  <si>
    <t>⑥ IVA (desde Portada)</t>
  </si>
  <si>
    <t xml:space="preserve">   IVA en €</t>
  </si>
  <si>
    <t>💰 PRECIO FINAL AL CLIENTE (con IVA)</t>
  </si>
  <si>
    <t xml:space="preserve">   Precio por participante / unidad</t>
  </si>
  <si>
    <t xml:space="preserve">   Precio mínimo aceptable (margen mínimo)</t>
  </si>
  <si>
    <t>📈 ANÁLISIS DE RENTABILIDAD</t>
  </si>
  <si>
    <t>Rentabilidad bruta (%)</t>
  </si>
  <si>
    <t>Beneficio neto estimado (€)</t>
  </si>
  <si>
    <t>Diferencia vs. precio mínimo (€)</t>
  </si>
  <si>
    <t>Diferencia vs. media de mercado (€)</t>
  </si>
  <si>
    <t>💡 Fórmula: Precio = (Coste Base ÷ (1–Margen)) × Factor Valor × Factor Posicionamiento + Prima Riesgo + IVA</t>
  </si>
  <si>
    <t>CALCULADORA DE PRECIOS — CONSULTORÍA</t>
  </si>
  <si>
    <t>Informes y documentación especializada</t>
  </si>
  <si>
    <t>Software de análisis / BI</t>
  </si>
  <si>
    <t>CALCULADORA DE PRECIOS — INGENIERÍA</t>
  </si>
  <si>
    <t>Licencias técnicas (CAD, BIM, etc.)</t>
  </si>
  <si>
    <t>Prototipado y pruebas</t>
  </si>
  <si>
    <t>Subcontratación especializada</t>
  </si>
  <si>
    <t>CALCULADORA DE PRECIOS — PRODUCTO</t>
  </si>
  <si>
    <t>A. COSTE DE ADQUISICIÓN O FABRICACIÓN (por unidad)</t>
  </si>
  <si>
    <t>Materias primas</t>
  </si>
  <si>
    <t>€/ud</t>
  </si>
  <si>
    <t>Producción / fabricación</t>
  </si>
  <si>
    <t>Mano de obra directa</t>
  </si>
  <si>
    <t>Empaquetado</t>
  </si>
  <si>
    <t>Etiquetado</t>
  </si>
  <si>
    <t>TOTAL FABRICACIÓN (A)</t>
  </si>
  <si>
    <t>B. COSTES LOGÍSTICOS (por unidad)</t>
  </si>
  <si>
    <t>Almacenamiento</t>
  </si>
  <si>
    <t>Transporte</t>
  </si>
  <si>
    <t>Envíos</t>
  </si>
  <si>
    <t>Devoluciones (estimado)</t>
  </si>
  <si>
    <t>TOTAL LOGÍSTICA (B)</t>
  </si>
  <si>
    <t>C. COSTES INDIRECTOS (prorrateo mensual)</t>
  </si>
  <si>
    <t>Personal</t>
  </si>
  <si>
    <t>Software y herramientas</t>
  </si>
  <si>
    <t>Administración y gestoría</t>
  </si>
  <si>
    <t>Alquileres y suministros</t>
  </si>
  <si>
    <t>Unidades vendidas al mes (estimado)</t>
  </si>
  <si>
    <t>uds/mes</t>
  </si>
  <si>
    <t>Total indirectos/mes</t>
  </si>
  <si>
    <t>TOTAL INDIRECTOS POR UNIDAD (C)</t>
  </si>
  <si>
    <t>D. IMPUESTOS</t>
  </si>
  <si>
    <t>IVA/VAT (%)</t>
  </si>
  <si>
    <t>Aranceles (si procede) (%)</t>
  </si>
  <si>
    <t>COSTE TOTAL UNITARIO (A+B+C)</t>
  </si>
  <si>
    <t>E. MARGEN COMERCIAL DESEADO</t>
  </si>
  <si>
    <t>Margen bruto objetivo (%)</t>
  </si>
  <si>
    <t>Margen neto objetivo (%)</t>
  </si>
  <si>
    <t>Fondo para reinversión (%)</t>
  </si>
  <si>
    <t>PVP sin IVA (coste + margen)</t>
  </si>
  <si>
    <t>F. VALOR PERCIBIDO</t>
  </si>
  <si>
    <t>Evalúa del 1 (bajo) al 5 (muy alto) cada atributo de valor del producto.</t>
  </si>
  <si>
    <t>Calidad percibida (1-5)</t>
  </si>
  <si>
    <t>Marca y reputación (1-5)</t>
  </si>
  <si>
    <t>Diseño y estética (1-5)</t>
  </si>
  <si>
    <t>Exclusividad / escasez (1-5)</t>
  </si>
  <si>
    <t>Conveniencia / facilidad (1-5)</t>
  </si>
  <si>
    <t>Garantías y soporte (1-5)</t>
  </si>
  <si>
    <t>Puntuación media valor percibido</t>
  </si>
  <si>
    <t>Precio competidor 1</t>
  </si>
  <si>
    <t>Precio competidor 2</t>
  </si>
  <si>
    <t>Precio competidor 3</t>
  </si>
  <si>
    <t>Elasticidad precio (1=rígida / 5=muy elástica)</t>
  </si>
  <si>
    <t>Segmento (1=Económico / 2=Medio / 3=Premium)</t>
  </si>
  <si>
    <t>Media precios mercado</t>
  </si>
  <si>
    <t>Factor segmento (0.85 – 1.20)</t>
  </si>
  <si>
    <t>H. CICLO DE VIDA DEL PRODUCTO</t>
  </si>
  <si>
    <t>Fase (1=Lanzamiento / 2=Crecimiento / 3=Madurez / 4=Liquidación)</t>
  </si>
  <si>
    <t>1-4</t>
  </si>
  <si>
    <t>Factor ciclo de vida (0.80 – 1.10)</t>
  </si>
  <si>
    <t>I. CANAL DE VENTA</t>
  </si>
  <si>
    <t>Canal (1=Directo / 2=Distribuid. / 3=Marketplace / 4=Mayorista / 5=Afiliad.)</t>
  </si>
  <si>
    <t>Comisión / descuento canal (%)</t>
  </si>
  <si>
    <t>Factor canal</t>
  </si>
  <si>
    <t>① PVP base (coste + margen)</t>
  </si>
  <si>
    <t>② Ajuste por valor percibido</t>
  </si>
  <si>
    <t>③ Ajuste por segmento</t>
  </si>
  <si>
    <t>④ Ajuste por ciclo de vida</t>
  </si>
  <si>
    <t>⑤ PVP sin IVA recomendado</t>
  </si>
  <si>
    <t>💰 PVP FINAL AL CLIENTE (con IVA)</t>
  </si>
  <si>
    <t xml:space="preserve">   Precio mínimo aceptable</t>
  </si>
  <si>
    <t xml:space="preserve">   Diferencia vs. media mercado</t>
  </si>
  <si>
    <t>Margen bruto real (%)</t>
  </si>
  <si>
    <t>Beneficio neto por unidad (€)</t>
  </si>
  <si>
    <t>Ingresos estimados al mes (€)</t>
  </si>
  <si>
    <t>RESUMEN COMPARATIVO DE PRECIOS</t>
  </si>
  <si>
    <t>Introduce el precio sin IVA de cada pestaña en la columna azul. El IVA se aplica automáticamente.</t>
  </si>
  <si>
    <t>CATEGORÍA</t>
  </si>
  <si>
    <t>PRECIO SIN IVA (€)</t>
  </si>
  <si>
    <t>PRECIO CON IVA (€)</t>
  </si>
  <si>
    <t>ℹ️ Copia el precio sin IVA (celda E del precio recomendado) de cada pestaña aquí.</t>
  </si>
  <si>
    <t>COMPARATIVA RÁPIDA</t>
  </si>
  <si>
    <t>PRECIO s/IVA</t>
  </si>
  <si>
    <t>MAYOR PRECIO?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</si>
</sst>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&quot; €&quot;"/>
    <numFmt numFmtId="166" formatCode="0.0%"/>
  </numFmts>
  <fonts count="25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sz val="9"/>
      <color rgb="FF404040"/>
      <name val="Arial"/>
      <charset val="1"/>
    </font>
    <font>
      <sz val="10"/>
      <color rgb="FF000000"/>
      <name val="Arial"/>
      <charset val="1"/>
    </font>
    <font>
      <sz val="10"/>
      <color rgb="FFFFFFFF"/>
      <name val="Arial"/>
      <charset val="1"/>
    </font>
    <font>
      <b/>
      <i/>
      <sz val="10"/>
      <color rgb="FF1F3864"/>
      <name val="Arial"/>
      <charset val="1"/>
    </font>
    <font>
      <b/>
      <sz val="15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8"/>
      <color rgb="FF595959"/>
      <name val="Arial"/>
      <charset val="1"/>
    </font>
    <font>
      <b/>
      <sz val="10"/>
      <name val="Arial"/>
      <charset val="1"/>
    </font>
    <font>
      <b/>
      <sz val="10"/>
      <color rgb="FF008000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b/>
      <sz val="12"/>
      <color rgb="FFFFFFFF"/>
      <name val="Arial"/>
      <charset val="1"/>
    </font>
    <font>
      <i/>
      <sz val="9"/>
      <color rgb="FF1F3864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sz val="9"/>
      <color rgb="FF000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C55A11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right" vertical="center"/>
    </xf>
    <xf numFmtId="164" fontId="8" fillId="11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4" fontId="16" fillId="9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/>
    </xf>
    <xf numFmtId="0" fontId="0" fillId="0" borderId="1" xfId="0" applyBorder="1"/>
    <xf numFmtId="0" fontId="15" fillId="0" borderId="0" xfId="0" applyFont="1" applyAlignment="1">
      <alignment horizontal="left" vertical="center" wrapText="1" indent="1"/>
    </xf>
    <xf numFmtId="4" fontId="18" fillId="11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4" fontId="8" fillId="11" borderId="1" xfId="0" applyNumberFormat="1" applyFont="1" applyFill="1" applyBorder="1" applyAlignment="1">
      <alignment horizontal="right" vertical="center"/>
    </xf>
    <xf numFmtId="4" fontId="18" fillId="10" borderId="1" xfId="0" applyNumberFormat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66" fontId="5" fillId="8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4" fontId="18" fillId="12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166" fontId="18" fillId="12" borderId="1" xfId="0" applyNumberFormat="1" applyFont="1" applyFill="1" applyBorder="1" applyAlignment="1">
      <alignment horizontal="right" vertical="center"/>
    </xf>
    <xf numFmtId="166" fontId="19" fillId="11" borderId="1" xfId="0" applyNumberFormat="1" applyFont="1" applyFill="1" applyBorder="1" applyAlignment="1">
      <alignment horizontal="right" vertical="center"/>
    </xf>
    <xf numFmtId="165" fontId="20" fillId="7" borderId="1" xfId="0" applyNumberFormat="1" applyFont="1" applyFill="1" applyBorder="1" applyAlignment="1">
      <alignment horizontal="right" vertical="center"/>
    </xf>
    <xf numFmtId="166" fontId="18" fillId="9" borderId="1" xfId="0" applyNumberFormat="1" applyFont="1" applyFill="1" applyBorder="1" applyAlignment="1">
      <alignment horizontal="right" vertical="center"/>
    </xf>
    <xf numFmtId="4" fontId="18" fillId="9" borderId="1" xfId="0" applyNumberFormat="1" applyFont="1" applyFill="1" applyBorder="1" applyAlignment="1">
      <alignment horizontal="right" vertical="center"/>
    </xf>
    <xf numFmtId="4" fontId="8" fillId="9" borderId="1" xfId="0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0" fontId="22" fillId="10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indent="1"/>
    </xf>
    <xf numFmtId="165" fontId="24" fillId="6" borderId="1" xfId="0" applyNumberFormat="1" applyFont="1" applyFill="1" applyBorder="1" applyAlignment="1">
      <alignment horizontal="right" vertical="center"/>
    </xf>
    <xf numFmtId="0" fontId="24" fillId="6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 indent="1"/>
    </xf>
    <xf numFmtId="165" fontId="24" fillId="5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10" fillId="9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1" fillId="6" borderId="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6" fillId="10" borderId="0" xfId="0" applyFont="1" applyFill="1" applyAlignment="1">
      <alignment horizontal="left" vertical="center" wrapText="1" indent="1"/>
    </xf>
    <xf numFmtId="0" fontId="15" fillId="10" borderId="1" xfId="0" applyFont="1" applyFill="1" applyBorder="1" applyAlignment="1">
      <alignment horizontal="left" vertical="center" indent="1"/>
    </xf>
    <xf numFmtId="0" fontId="15" fillId="11" borderId="1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2" width="40" customWidth="1"/>
    <col min="3" max="3" width="35.90625" customWidth="1"/>
    <col min="4" max="4" width="18" customWidth="1"/>
    <col min="5" max="5" width="4" customWidth="1"/>
  </cols>
  <sheetData>
    <row r="2" spans="2:4" ht="31.5" customHeight="1" x14ac:dyDescent="0.35">
      <c r="B2" s="63" t="s">
        <v>0</v>
      </c>
      <c r="C2" s="63"/>
      <c r="D2" s="63"/>
    </row>
    <row r="3" spans="2:4" ht="31.5" customHeight="1" x14ac:dyDescent="0.35">
      <c r="B3" s="63"/>
      <c r="C3" s="63"/>
      <c r="D3" s="63"/>
    </row>
    <row r="4" spans="2:4" ht="21.75" customHeight="1" x14ac:dyDescent="0.35">
      <c r="B4" s="64" t="s">
        <v>1</v>
      </c>
      <c r="C4" s="64"/>
      <c r="D4" s="64"/>
    </row>
    <row r="5" spans="2:4" ht="7.5" customHeight="1" x14ac:dyDescent="0.35"/>
    <row r="6" spans="2:4" ht="21.75" customHeight="1" x14ac:dyDescent="0.35">
      <c r="B6" s="58" t="s">
        <v>2</v>
      </c>
      <c r="C6" s="58"/>
      <c r="D6" s="58"/>
    </row>
    <row r="7" spans="2:4" ht="19.5" customHeight="1" x14ac:dyDescent="0.35">
      <c r="B7" s="1" t="s">
        <v>3</v>
      </c>
      <c r="C7" s="2" t="s">
        <v>4</v>
      </c>
    </row>
    <row r="8" spans="2:4" ht="19.5" customHeight="1" x14ac:dyDescent="0.35">
      <c r="B8" s="1" t="s">
        <v>5</v>
      </c>
      <c r="C8" s="2" t="s">
        <v>6</v>
      </c>
    </row>
    <row r="9" spans="2:4" ht="19.5" customHeight="1" x14ac:dyDescent="0.35">
      <c r="B9" s="1" t="s">
        <v>7</v>
      </c>
      <c r="C9" s="2" t="s">
        <v>8</v>
      </c>
    </row>
    <row r="10" spans="2:4" ht="19.5" customHeight="1" x14ac:dyDescent="0.35">
      <c r="B10" s="1" t="s">
        <v>9</v>
      </c>
      <c r="C10" s="2">
        <v>21</v>
      </c>
    </row>
    <row r="11" spans="2:4" ht="19.5" customHeight="1" x14ac:dyDescent="0.35">
      <c r="B11" s="1" t="s">
        <v>10</v>
      </c>
      <c r="C11" s="2" t="s">
        <v>11</v>
      </c>
    </row>
    <row r="12" spans="2:4" ht="7.5" customHeight="1" x14ac:dyDescent="0.35"/>
    <row r="13" spans="2:4" ht="21.75" customHeight="1" x14ac:dyDescent="0.35">
      <c r="B13" s="58" t="s">
        <v>12</v>
      </c>
      <c r="C13" s="58"/>
      <c r="D13" s="58"/>
    </row>
    <row r="14" spans="2:4" ht="19.5" customHeight="1" x14ac:dyDescent="0.35">
      <c r="B14" s="3" t="s">
        <v>13</v>
      </c>
      <c r="C14" s="62" t="s">
        <v>14</v>
      </c>
      <c r="D14" s="62"/>
    </row>
    <row r="15" spans="2:4" ht="19.5" customHeight="1" x14ac:dyDescent="0.35">
      <c r="B15" s="4" t="s">
        <v>15</v>
      </c>
      <c r="C15" s="61" t="s">
        <v>16</v>
      </c>
      <c r="D15" s="61"/>
    </row>
    <row r="16" spans="2:4" ht="19.5" customHeight="1" x14ac:dyDescent="0.35">
      <c r="B16" s="3" t="s">
        <v>17</v>
      </c>
      <c r="C16" s="62" t="s">
        <v>18</v>
      </c>
      <c r="D16" s="62"/>
    </row>
    <row r="17" spans="2:4" ht="19.5" customHeight="1" x14ac:dyDescent="0.35">
      <c r="B17" s="4" t="s">
        <v>19</v>
      </c>
      <c r="C17" s="61" t="s">
        <v>20</v>
      </c>
      <c r="D17" s="61"/>
    </row>
    <row r="18" spans="2:4" ht="19.5" customHeight="1" x14ac:dyDescent="0.35">
      <c r="B18" s="3" t="s">
        <v>21</v>
      </c>
      <c r="C18" s="62" t="s">
        <v>22</v>
      </c>
      <c r="D18" s="62"/>
    </row>
    <row r="19" spans="2:4" ht="19.5" customHeight="1" x14ac:dyDescent="0.35">
      <c r="B19" s="4" t="s">
        <v>23</v>
      </c>
      <c r="C19" s="61" t="s">
        <v>24</v>
      </c>
      <c r="D19" s="61"/>
    </row>
    <row r="20" spans="2:4" ht="7.5" customHeight="1" x14ac:dyDescent="0.35"/>
    <row r="21" spans="2:4" ht="21.75" customHeight="1" x14ac:dyDescent="0.35">
      <c r="B21" s="58" t="s">
        <v>25</v>
      </c>
      <c r="C21" s="58"/>
      <c r="D21" s="58"/>
    </row>
    <row r="22" spans="2:4" ht="18" customHeight="1" x14ac:dyDescent="0.35">
      <c r="B22" s="5" t="s">
        <v>26</v>
      </c>
      <c r="C22" s="60" t="s">
        <v>27</v>
      </c>
      <c r="D22" s="60"/>
    </row>
    <row r="23" spans="2:4" ht="18" customHeight="1" x14ac:dyDescent="0.35">
      <c r="B23" s="6" t="s">
        <v>26</v>
      </c>
      <c r="C23" s="60" t="s">
        <v>28</v>
      </c>
      <c r="D23" s="60"/>
    </row>
    <row r="24" spans="2:4" ht="18" customHeight="1" x14ac:dyDescent="0.35">
      <c r="B24" s="7" t="s">
        <v>26</v>
      </c>
      <c r="C24" s="60" t="s">
        <v>29</v>
      </c>
      <c r="D24" s="60"/>
    </row>
    <row r="25" spans="2:4" ht="18" customHeight="1" x14ac:dyDescent="0.35">
      <c r="B25" s="8" t="s">
        <v>26</v>
      </c>
      <c r="C25" s="60" t="s">
        <v>30</v>
      </c>
      <c r="D25" s="60"/>
    </row>
    <row r="26" spans="2:4" ht="7.5" customHeight="1" x14ac:dyDescent="0.35"/>
    <row r="27" spans="2:4" ht="21.75" customHeight="1" x14ac:dyDescent="0.35">
      <c r="B27" s="59" t="s">
        <v>31</v>
      </c>
      <c r="C27" s="59"/>
      <c r="D27" s="59"/>
    </row>
  </sheetData>
  <mergeCells count="16">
    <mergeCell ref="B2:D3"/>
    <mergeCell ref="B4:D4"/>
    <mergeCell ref="B6:D6"/>
    <mergeCell ref="B13:D13"/>
    <mergeCell ref="C14:D14"/>
    <mergeCell ref="C15:D15"/>
    <mergeCell ref="C16:D16"/>
    <mergeCell ref="C17:D17"/>
    <mergeCell ref="C18:D18"/>
    <mergeCell ref="C19:D19"/>
    <mergeCell ref="B27:D27"/>
    <mergeCell ref="B21:D21"/>
    <mergeCell ref="C22:D22"/>
    <mergeCell ref="C23:D23"/>
    <mergeCell ref="C24:D24"/>
    <mergeCell ref="C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1"/>
  <sheetViews>
    <sheetView showGridLines="0" tabSelected="1" zoomScaleNormal="100" workbookViewId="0">
      <selection activeCell="F21" sqref="F21"/>
    </sheetView>
  </sheetViews>
  <sheetFormatPr defaultColWidth="8.6328125" defaultRowHeight="14.5" x14ac:dyDescent="0.35"/>
  <cols>
    <col min="1" max="1" width="2" customWidth="1"/>
    <col min="2" max="2" width="22" customWidth="1"/>
    <col min="3" max="3" width="20" customWidth="1"/>
    <col min="4" max="4" width="17.54296875" customWidth="1"/>
    <col min="5" max="5" width="14" customWidth="1"/>
    <col min="6" max="6" width="17.54296875" customWidth="1"/>
    <col min="7" max="7" width="16" customWidth="1"/>
    <col min="8" max="8" width="2" customWidth="1"/>
  </cols>
  <sheetData>
    <row r="1" spans="2:7" ht="19.5" customHeight="1" x14ac:dyDescent="0.35">
      <c r="B1" s="55" t="s">
        <v>32</v>
      </c>
      <c r="C1" s="55"/>
      <c r="D1" s="55"/>
      <c r="E1" s="55"/>
      <c r="F1" s="55"/>
      <c r="G1" s="55"/>
    </row>
    <row r="2" spans="2:7" ht="19.5" customHeight="1" x14ac:dyDescent="0.35">
      <c r="B2" s="55"/>
      <c r="C2" s="55"/>
      <c r="D2" s="55"/>
      <c r="E2" s="55"/>
      <c r="F2" s="55"/>
      <c r="G2" s="55"/>
    </row>
    <row r="3" spans="2:7" ht="7.5" customHeight="1" x14ac:dyDescent="0.35"/>
    <row r="4" spans="2:7" ht="27.75" customHeight="1" x14ac:dyDescent="0.35">
      <c r="B4" s="56" t="s">
        <v>33</v>
      </c>
      <c r="C4" s="56"/>
      <c r="D4" s="56"/>
      <c r="E4" s="56"/>
      <c r="F4" s="56"/>
      <c r="G4" s="56"/>
    </row>
    <row r="5" spans="2:7" ht="7.5" customHeight="1" x14ac:dyDescent="0.35"/>
    <row r="6" spans="2:7" ht="31.5" customHeight="1" x14ac:dyDescent="0.35">
      <c r="B6" s="9" t="s">
        <v>34</v>
      </c>
      <c r="C6" s="9" t="s">
        <v>35</v>
      </c>
      <c r="D6" s="9" t="s">
        <v>36</v>
      </c>
      <c r="E6" s="9" t="s">
        <v>37</v>
      </c>
      <c r="F6" s="9" t="s">
        <v>38</v>
      </c>
      <c r="G6" s="9" t="s">
        <v>39</v>
      </c>
    </row>
    <row r="7" spans="2:7" ht="15.75" customHeight="1" x14ac:dyDescent="0.35">
      <c r="B7" s="10"/>
      <c r="C7" s="10" t="s">
        <v>40</v>
      </c>
      <c r="D7" s="10" t="s">
        <v>41</v>
      </c>
      <c r="E7" s="10" t="s">
        <v>42</v>
      </c>
      <c r="F7" s="10" t="s">
        <v>43</v>
      </c>
      <c r="G7" s="10" t="s">
        <v>44</v>
      </c>
    </row>
    <row r="8" spans="2:7" ht="19.5" customHeight="1" x14ac:dyDescent="0.35">
      <c r="B8" s="11" t="s">
        <v>45</v>
      </c>
      <c r="C8" s="11" t="s">
        <v>46</v>
      </c>
      <c r="D8" s="12">
        <v>160</v>
      </c>
      <c r="E8" s="13">
        <v>0.75</v>
      </c>
      <c r="F8" s="14">
        <f t="shared" ref="F8:F15" si="0">D8*E8</f>
        <v>120</v>
      </c>
      <c r="G8" s="15">
        <v>0</v>
      </c>
    </row>
    <row r="9" spans="2:7" ht="19.5" customHeight="1" x14ac:dyDescent="0.35">
      <c r="B9" s="11" t="s">
        <v>47</v>
      </c>
      <c r="C9" s="11" t="s">
        <v>46</v>
      </c>
      <c r="D9" s="12">
        <v>160</v>
      </c>
      <c r="E9" s="13">
        <v>0.75</v>
      </c>
      <c r="F9" s="14">
        <f t="shared" si="0"/>
        <v>120</v>
      </c>
      <c r="G9" s="15">
        <v>0</v>
      </c>
    </row>
    <row r="10" spans="2:7" ht="19.5" customHeight="1" x14ac:dyDescent="0.35">
      <c r="B10" s="11" t="s">
        <v>48</v>
      </c>
      <c r="C10" s="11" t="s">
        <v>46</v>
      </c>
      <c r="D10" s="12">
        <v>160</v>
      </c>
      <c r="E10" s="13">
        <v>0.75</v>
      </c>
      <c r="F10" s="14">
        <f t="shared" si="0"/>
        <v>120</v>
      </c>
      <c r="G10" s="15">
        <v>0</v>
      </c>
    </row>
    <row r="11" spans="2:7" ht="19.5" customHeight="1" x14ac:dyDescent="0.35">
      <c r="B11" s="11" t="s">
        <v>49</v>
      </c>
      <c r="C11" s="11" t="s">
        <v>46</v>
      </c>
      <c r="D11" s="12">
        <v>160</v>
      </c>
      <c r="E11" s="13">
        <v>0.75</v>
      </c>
      <c r="F11" s="14">
        <f t="shared" si="0"/>
        <v>120</v>
      </c>
      <c r="G11" s="15">
        <v>0</v>
      </c>
    </row>
    <row r="12" spans="2:7" ht="19.5" customHeight="1" x14ac:dyDescent="0.35">
      <c r="B12" s="11" t="s">
        <v>50</v>
      </c>
      <c r="C12" s="11" t="s">
        <v>46</v>
      </c>
      <c r="D12" s="12">
        <v>160</v>
      </c>
      <c r="E12" s="13">
        <v>0.75</v>
      </c>
      <c r="F12" s="14">
        <f t="shared" si="0"/>
        <v>120</v>
      </c>
      <c r="G12" s="15">
        <v>0</v>
      </c>
    </row>
    <row r="13" spans="2:7" ht="19.5" customHeight="1" x14ac:dyDescent="0.35">
      <c r="B13" s="11" t="s">
        <v>51</v>
      </c>
      <c r="C13" s="11" t="s">
        <v>46</v>
      </c>
      <c r="D13" s="12">
        <v>160</v>
      </c>
      <c r="E13" s="13">
        <v>0.75</v>
      </c>
      <c r="F13" s="14">
        <f t="shared" si="0"/>
        <v>120</v>
      </c>
      <c r="G13" s="15">
        <v>0</v>
      </c>
    </row>
    <row r="14" spans="2:7" ht="19.5" customHeight="1" x14ac:dyDescent="0.35">
      <c r="B14" s="11" t="s">
        <v>52</v>
      </c>
      <c r="C14" s="11" t="s">
        <v>46</v>
      </c>
      <c r="D14" s="12">
        <v>160</v>
      </c>
      <c r="E14" s="13">
        <v>0.75</v>
      </c>
      <c r="F14" s="14">
        <f t="shared" si="0"/>
        <v>120</v>
      </c>
      <c r="G14" s="15">
        <v>0</v>
      </c>
    </row>
    <row r="15" spans="2:7" ht="19.5" customHeight="1" x14ac:dyDescent="0.35">
      <c r="B15" s="11" t="s">
        <v>53</v>
      </c>
      <c r="C15" s="11" t="s">
        <v>46</v>
      </c>
      <c r="D15" s="12">
        <v>160</v>
      </c>
      <c r="E15" s="13">
        <v>0.75</v>
      </c>
      <c r="F15" s="14">
        <f t="shared" si="0"/>
        <v>120</v>
      </c>
      <c r="G15" s="15">
        <v>0</v>
      </c>
    </row>
    <row r="16" spans="2:7" ht="7.5" customHeight="1" x14ac:dyDescent="0.35"/>
    <row r="17" spans="2:7" ht="24" customHeight="1" x14ac:dyDescent="0.35">
      <c r="B17" s="57" t="s">
        <v>54</v>
      </c>
      <c r="C17" s="57"/>
      <c r="D17" s="57"/>
      <c r="E17" s="57"/>
      <c r="F17" s="16">
        <f>SUM(F8:F15)</f>
        <v>960</v>
      </c>
      <c r="G17" s="17">
        <f>SUM(G8:G15)</f>
        <v>0</v>
      </c>
    </row>
    <row r="18" spans="2:7" ht="7.5" customHeight="1" x14ac:dyDescent="0.35"/>
    <row r="19" spans="2:7" ht="21.75" customHeight="1" x14ac:dyDescent="0.35">
      <c r="B19" s="58" t="s">
        <v>55</v>
      </c>
      <c r="C19" s="58"/>
      <c r="D19" s="58"/>
      <c r="E19" s="58"/>
      <c r="F19" s="58"/>
      <c r="G19" s="58"/>
    </row>
    <row r="20" spans="2:7" ht="19.5" customHeight="1" x14ac:dyDescent="0.35">
      <c r="B20" s="54" t="s">
        <v>56</v>
      </c>
      <c r="C20" s="54"/>
      <c r="D20" s="54"/>
      <c r="E20" s="54"/>
      <c r="F20" s="18">
        <f>F17</f>
        <v>960</v>
      </c>
      <c r="G20" s="19" t="s">
        <v>41</v>
      </c>
    </row>
    <row r="21" spans="2:7" ht="19.5" customHeight="1" x14ac:dyDescent="0.35">
      <c r="B21" s="54" t="s">
        <v>57</v>
      </c>
      <c r="C21" s="54"/>
      <c r="D21" s="54"/>
      <c r="E21" s="54"/>
      <c r="F21" s="20">
        <f>G17</f>
        <v>0</v>
      </c>
      <c r="G21" s="19" t="s">
        <v>44</v>
      </c>
    </row>
  </sheetData>
  <mergeCells count="6">
    <mergeCell ref="B21:E21"/>
    <mergeCell ref="B1:G2"/>
    <mergeCell ref="B4:G4"/>
    <mergeCell ref="B17:E17"/>
    <mergeCell ref="B19:G19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21"/>
  <sheetViews>
    <sheetView showGridLines="0" zoomScaleNormal="100" workbookViewId="0">
      <selection activeCell="B124" sqref="B124"/>
    </sheetView>
  </sheetViews>
  <sheetFormatPr defaultColWidth="8.6328125" defaultRowHeight="14.5" x14ac:dyDescent="0.35"/>
  <cols>
    <col min="1" max="1" width="2" customWidth="1"/>
    <col min="2" max="2" width="57.54296875" bestFit="1" customWidth="1"/>
    <col min="3" max="3" width="18" customWidth="1"/>
    <col min="4" max="4" width="12" customWidth="1"/>
    <col min="5" max="5" width="14" customWidth="1"/>
    <col min="6" max="6" width="2" customWidth="1"/>
  </cols>
  <sheetData>
    <row r="1" spans="2:5" ht="19.5" customHeight="1" x14ac:dyDescent="0.35">
      <c r="B1" s="55" t="s">
        <v>58</v>
      </c>
      <c r="C1" s="55"/>
      <c r="D1" s="55"/>
      <c r="E1" s="55"/>
    </row>
    <row r="2" spans="2:5" ht="19.5" customHeight="1" x14ac:dyDescent="0.35">
      <c r="B2" s="55"/>
      <c r="C2" s="55"/>
      <c r="D2" s="55"/>
      <c r="E2" s="55"/>
    </row>
    <row r="3" spans="2:5" ht="7.5" customHeight="1" x14ac:dyDescent="0.35"/>
    <row r="4" spans="2:5" ht="21.75" customHeight="1" x14ac:dyDescent="0.35">
      <c r="B4" s="66" t="s">
        <v>59</v>
      </c>
      <c r="C4" s="66"/>
      <c r="D4" s="66"/>
      <c r="E4" s="66"/>
    </row>
    <row r="5" spans="2:5" ht="18" customHeight="1" x14ac:dyDescent="0.35">
      <c r="B5" s="69" t="s">
        <v>60</v>
      </c>
      <c r="C5" s="69"/>
      <c r="D5" s="69"/>
      <c r="E5" s="69"/>
    </row>
    <row r="6" spans="2:5" ht="18" customHeight="1" x14ac:dyDescent="0.35">
      <c r="B6" s="21" t="s">
        <v>61</v>
      </c>
      <c r="C6" s="15">
        <v>10</v>
      </c>
      <c r="D6" s="22" t="s">
        <v>62</v>
      </c>
      <c r="E6" s="23"/>
    </row>
    <row r="7" spans="2:5" ht="18" customHeight="1" x14ac:dyDescent="0.35">
      <c r="B7" s="21" t="s">
        <v>63</v>
      </c>
      <c r="C7" s="15">
        <v>50</v>
      </c>
      <c r="D7" s="22" t="s">
        <v>64</v>
      </c>
      <c r="E7" s="23"/>
    </row>
    <row r="8" spans="2:5" ht="18" customHeight="1" x14ac:dyDescent="0.35">
      <c r="B8" s="24" t="s">
        <v>65</v>
      </c>
      <c r="C8" s="23"/>
      <c r="D8" s="22" t="s">
        <v>66</v>
      </c>
      <c r="E8" s="25">
        <f>C6*C7</f>
        <v>500</v>
      </c>
    </row>
    <row r="9" spans="2:5" ht="18" customHeight="1" x14ac:dyDescent="0.35">
      <c r="B9" s="69" t="s">
        <v>67</v>
      </c>
      <c r="C9" s="69"/>
      <c r="D9" s="69"/>
      <c r="E9" s="69"/>
    </row>
    <row r="10" spans="2:5" ht="18" customHeight="1" x14ac:dyDescent="0.35">
      <c r="B10" s="26" t="s">
        <v>68</v>
      </c>
      <c r="C10" s="15">
        <v>0</v>
      </c>
      <c r="D10" s="22" t="s">
        <v>62</v>
      </c>
      <c r="E10" s="23"/>
    </row>
    <row r="11" spans="2:5" ht="18" customHeight="1" x14ac:dyDescent="0.35">
      <c r="B11" s="26" t="s">
        <v>69</v>
      </c>
      <c r="C11" s="15">
        <v>0</v>
      </c>
      <c r="D11" s="22" t="s">
        <v>64</v>
      </c>
      <c r="E11" s="23"/>
    </row>
    <row r="12" spans="2:5" ht="15.75" customHeight="1" x14ac:dyDescent="0.35">
      <c r="B12" s="27" t="s">
        <v>70</v>
      </c>
      <c r="C12" s="23"/>
      <c r="D12" s="23"/>
      <c r="E12" s="28">
        <f>C10*C11</f>
        <v>0</v>
      </c>
    </row>
    <row r="13" spans="2:5" ht="18" customHeight="1" x14ac:dyDescent="0.35">
      <c r="B13" s="26" t="s">
        <v>71</v>
      </c>
      <c r="C13" s="15">
        <v>0</v>
      </c>
      <c r="D13" s="22" t="s">
        <v>62</v>
      </c>
      <c r="E13" s="23"/>
    </row>
    <row r="14" spans="2:5" ht="18" customHeight="1" x14ac:dyDescent="0.35">
      <c r="B14" s="26" t="s">
        <v>72</v>
      </c>
      <c r="C14" s="15">
        <v>0</v>
      </c>
      <c r="D14" s="22" t="s">
        <v>64</v>
      </c>
      <c r="E14" s="23"/>
    </row>
    <row r="15" spans="2:5" ht="15.75" customHeight="1" x14ac:dyDescent="0.35">
      <c r="B15" s="27" t="s">
        <v>73</v>
      </c>
      <c r="C15" s="23"/>
      <c r="D15" s="23"/>
      <c r="E15" s="28">
        <f>C13*C14</f>
        <v>0</v>
      </c>
    </row>
    <row r="16" spans="2:5" ht="18" customHeight="1" x14ac:dyDescent="0.35">
      <c r="B16" s="26" t="s">
        <v>74</v>
      </c>
      <c r="C16" s="15">
        <v>0</v>
      </c>
      <c r="D16" s="22" t="s">
        <v>62</v>
      </c>
      <c r="E16" s="23"/>
    </row>
    <row r="17" spans="2:5" ht="18" customHeight="1" x14ac:dyDescent="0.35">
      <c r="B17" s="26" t="s">
        <v>75</v>
      </c>
      <c r="C17" s="15">
        <v>0</v>
      </c>
      <c r="D17" s="22" t="s">
        <v>64</v>
      </c>
      <c r="E17" s="23"/>
    </row>
    <row r="18" spans="2:5" ht="15.75" customHeight="1" x14ac:dyDescent="0.35">
      <c r="B18" s="27" t="s">
        <v>76</v>
      </c>
      <c r="C18" s="23"/>
      <c r="D18" s="23"/>
      <c r="E18" s="28">
        <f>C16*C17</f>
        <v>0</v>
      </c>
    </row>
    <row r="19" spans="2:5" ht="18" customHeight="1" x14ac:dyDescent="0.35">
      <c r="B19" s="26" t="s">
        <v>77</v>
      </c>
      <c r="C19" s="15">
        <v>0</v>
      </c>
      <c r="D19" s="22" t="s">
        <v>62</v>
      </c>
      <c r="E19" s="23"/>
    </row>
    <row r="20" spans="2:5" ht="18" customHeight="1" x14ac:dyDescent="0.35">
      <c r="B20" s="26" t="s">
        <v>78</v>
      </c>
      <c r="C20" s="15">
        <v>0</v>
      </c>
      <c r="D20" s="22" t="s">
        <v>64</v>
      </c>
      <c r="E20" s="23"/>
    </row>
    <row r="21" spans="2:5" ht="15.75" customHeight="1" x14ac:dyDescent="0.35">
      <c r="B21" s="27" t="s">
        <v>79</v>
      </c>
      <c r="C21" s="23"/>
      <c r="D21" s="23"/>
      <c r="E21" s="28">
        <f>C19*C20</f>
        <v>0</v>
      </c>
    </row>
    <row r="22" spans="2:5" ht="18" customHeight="1" x14ac:dyDescent="0.35">
      <c r="B22" s="26" t="s">
        <v>80</v>
      </c>
      <c r="C22" s="15">
        <v>0</v>
      </c>
      <c r="D22" s="22" t="s">
        <v>62</v>
      </c>
      <c r="E22" s="23"/>
    </row>
    <row r="23" spans="2:5" ht="18" customHeight="1" x14ac:dyDescent="0.35">
      <c r="B23" s="26" t="s">
        <v>81</v>
      </c>
      <c r="C23" s="15">
        <v>0</v>
      </c>
      <c r="D23" s="22" t="s">
        <v>64</v>
      </c>
      <c r="E23" s="23"/>
    </row>
    <row r="24" spans="2:5" ht="15.75" customHeight="1" x14ac:dyDescent="0.35">
      <c r="B24" s="27" t="s">
        <v>82</v>
      </c>
      <c r="C24" s="23"/>
      <c r="D24" s="23"/>
      <c r="E24" s="28">
        <f>C22*C23</f>
        <v>0</v>
      </c>
    </row>
    <row r="25" spans="2:5" ht="19.5" customHeight="1" x14ac:dyDescent="0.35">
      <c r="B25" s="71" t="s">
        <v>83</v>
      </c>
      <c r="C25" s="71"/>
      <c r="D25" s="22" t="s">
        <v>66</v>
      </c>
      <c r="E25" s="25">
        <f>E12+E15+E18+E21+E24</f>
        <v>0</v>
      </c>
    </row>
    <row r="26" spans="2:5" ht="18" customHeight="1" x14ac:dyDescent="0.35">
      <c r="B26" s="69" t="s">
        <v>84</v>
      </c>
      <c r="C26" s="69"/>
      <c r="D26" s="69"/>
      <c r="E26" s="69"/>
    </row>
    <row r="27" spans="2:5" ht="18" customHeight="1" x14ac:dyDescent="0.35">
      <c r="B27" s="21" t="s">
        <v>85</v>
      </c>
      <c r="C27" s="15">
        <v>0</v>
      </c>
      <c r="D27" s="22" t="s">
        <v>66</v>
      </c>
      <c r="E27" s="23"/>
    </row>
    <row r="28" spans="2:5" ht="18" customHeight="1" x14ac:dyDescent="0.35">
      <c r="B28" s="21" t="s">
        <v>86</v>
      </c>
      <c r="C28" s="15">
        <v>0</v>
      </c>
      <c r="D28" s="22" t="s">
        <v>66</v>
      </c>
      <c r="E28" s="23"/>
    </row>
    <row r="29" spans="2:5" ht="18" customHeight="1" x14ac:dyDescent="0.35">
      <c r="B29" s="21" t="s">
        <v>87</v>
      </c>
      <c r="C29" s="15">
        <v>0</v>
      </c>
      <c r="D29" s="22" t="s">
        <v>66</v>
      </c>
      <c r="E29" s="23"/>
    </row>
    <row r="30" spans="2:5" ht="18" customHeight="1" x14ac:dyDescent="0.35">
      <c r="B30" s="21" t="s">
        <v>88</v>
      </c>
      <c r="C30" s="15">
        <v>0</v>
      </c>
      <c r="D30" s="22" t="s">
        <v>66</v>
      </c>
      <c r="E30" s="23"/>
    </row>
    <row r="31" spans="2:5" ht="18" customHeight="1" x14ac:dyDescent="0.35">
      <c r="B31" s="21" t="s">
        <v>89</v>
      </c>
      <c r="C31" s="15">
        <v>0</v>
      </c>
      <c r="D31" s="22" t="s">
        <v>66</v>
      </c>
      <c r="E31" s="23"/>
    </row>
    <row r="32" spans="2:5" ht="19.5" customHeight="1" x14ac:dyDescent="0.35">
      <c r="B32" s="70" t="s">
        <v>90</v>
      </c>
      <c r="C32" s="70"/>
      <c r="D32" s="22" t="s">
        <v>66</v>
      </c>
      <c r="E32" s="29">
        <f>E8+E25+E27+E28+E29+E30+E31</f>
        <v>500</v>
      </c>
    </row>
    <row r="33" spans="2:5" ht="6" customHeight="1" x14ac:dyDescent="0.35"/>
    <row r="34" spans="2:5" ht="21.75" customHeight="1" x14ac:dyDescent="0.35">
      <c r="B34" s="66" t="s">
        <v>91</v>
      </c>
      <c r="C34" s="66"/>
      <c r="D34" s="66"/>
      <c r="E34" s="66"/>
    </row>
    <row r="35" spans="2:5" ht="19.5" customHeight="1" x14ac:dyDescent="0.35">
      <c r="B35" s="24" t="s">
        <v>92</v>
      </c>
      <c r="C35" s="23"/>
      <c r="D35" s="22" t="s">
        <v>44</v>
      </c>
      <c r="E35" s="20">
        <f>'👥 Equipo'!G17</f>
        <v>0</v>
      </c>
    </row>
    <row r="36" spans="2:5" ht="18" customHeight="1" x14ac:dyDescent="0.35">
      <c r="B36" s="21" t="s">
        <v>93</v>
      </c>
      <c r="C36" s="15">
        <v>0</v>
      </c>
      <c r="D36" s="22" t="s">
        <v>44</v>
      </c>
      <c r="E36" s="23"/>
    </row>
    <row r="37" spans="2:5" ht="18" customHeight="1" x14ac:dyDescent="0.35">
      <c r="B37" s="21" t="s">
        <v>94</v>
      </c>
      <c r="C37" s="15">
        <v>0</v>
      </c>
      <c r="D37" s="22" t="s">
        <v>44</v>
      </c>
      <c r="E37" s="23"/>
    </row>
    <row r="38" spans="2:5" ht="18" customHeight="1" x14ac:dyDescent="0.35">
      <c r="B38" s="21" t="s">
        <v>95</v>
      </c>
      <c r="C38" s="15">
        <v>0</v>
      </c>
      <c r="D38" s="22" t="s">
        <v>44</v>
      </c>
      <c r="E38" s="23"/>
    </row>
    <row r="39" spans="2:5" ht="18" customHeight="1" x14ac:dyDescent="0.35">
      <c r="B39" s="21" t="s">
        <v>96</v>
      </c>
      <c r="C39" s="15">
        <v>0</v>
      </c>
      <c r="D39" s="22" t="s">
        <v>44</v>
      </c>
      <c r="E39" s="23"/>
    </row>
    <row r="40" spans="2:5" ht="18" customHeight="1" x14ac:dyDescent="0.35">
      <c r="B40" s="21" t="s">
        <v>97</v>
      </c>
      <c r="C40" s="15">
        <v>0</v>
      </c>
      <c r="D40" s="22" t="s">
        <v>44</v>
      </c>
      <c r="E40" s="23"/>
    </row>
    <row r="41" spans="2:5" ht="18" customHeight="1" x14ac:dyDescent="0.35">
      <c r="B41" s="21" t="s">
        <v>98</v>
      </c>
      <c r="C41" s="15">
        <v>0</v>
      </c>
      <c r="D41" s="22" t="s">
        <v>44</v>
      </c>
      <c r="E41" s="23"/>
    </row>
    <row r="42" spans="2:5" ht="18" customHeight="1" x14ac:dyDescent="0.35">
      <c r="B42" s="21" t="s">
        <v>99</v>
      </c>
      <c r="C42" s="15">
        <v>0</v>
      </c>
      <c r="D42" s="22" t="s">
        <v>44</v>
      </c>
      <c r="E42" s="23"/>
    </row>
    <row r="43" spans="2:5" ht="18" customHeight="1" x14ac:dyDescent="0.35">
      <c r="B43" s="21" t="s">
        <v>100</v>
      </c>
      <c r="C43" s="23"/>
      <c r="D43" s="22" t="s">
        <v>66</v>
      </c>
      <c r="E43" s="28">
        <f>SUM(C36:C42)</f>
        <v>0</v>
      </c>
    </row>
    <row r="44" spans="2:5" ht="18" customHeight="1" x14ac:dyDescent="0.35">
      <c r="B44" s="24" t="s">
        <v>101</v>
      </c>
      <c r="C44" s="23"/>
      <c r="D44" s="22" t="s">
        <v>66</v>
      </c>
      <c r="E44" s="25">
        <f>E43+E35</f>
        <v>0</v>
      </c>
    </row>
    <row r="45" spans="2:5" ht="19.5" customHeight="1" x14ac:dyDescent="0.35">
      <c r="B45" s="24" t="s">
        <v>102</v>
      </c>
      <c r="C45" s="23"/>
      <c r="D45" s="22" t="s">
        <v>41</v>
      </c>
      <c r="E45" s="18">
        <f>'👥 Equipo'!F17</f>
        <v>960</v>
      </c>
    </row>
    <row r="46" spans="2:5" ht="18" customHeight="1" x14ac:dyDescent="0.35">
      <c r="B46" s="21" t="s">
        <v>103</v>
      </c>
      <c r="C46" s="30">
        <v>10</v>
      </c>
      <c r="D46" s="22" t="s">
        <v>62</v>
      </c>
      <c r="E46" s="23"/>
    </row>
    <row r="47" spans="2:5" ht="18" customHeight="1" x14ac:dyDescent="0.35">
      <c r="B47" s="24" t="s">
        <v>104</v>
      </c>
      <c r="C47" s="23"/>
      <c r="D47" s="22" t="s">
        <v>66</v>
      </c>
      <c r="E47" s="25">
        <f>IF(E45=0,0,E44/E45*C46)</f>
        <v>0</v>
      </c>
    </row>
    <row r="48" spans="2:5" ht="6" customHeight="1" x14ac:dyDescent="0.35"/>
    <row r="49" spans="2:5" ht="21.75" customHeight="1" x14ac:dyDescent="0.35">
      <c r="B49" s="66" t="s">
        <v>105</v>
      </c>
      <c r="C49" s="66"/>
      <c r="D49" s="66"/>
      <c r="E49" s="66"/>
    </row>
    <row r="50" spans="2:5" ht="18" customHeight="1" x14ac:dyDescent="0.35">
      <c r="B50" s="21" t="s">
        <v>106</v>
      </c>
      <c r="C50" s="15">
        <v>0</v>
      </c>
      <c r="D50" s="22" t="s">
        <v>62</v>
      </c>
      <c r="E50" s="23"/>
    </row>
    <row r="51" spans="2:5" ht="18" customHeight="1" x14ac:dyDescent="0.35">
      <c r="B51" s="21" t="s">
        <v>107</v>
      </c>
      <c r="C51" s="15">
        <v>0</v>
      </c>
      <c r="D51" s="22" t="s">
        <v>62</v>
      </c>
      <c r="E51" s="23"/>
    </row>
    <row r="52" spans="2:5" ht="18" customHeight="1" x14ac:dyDescent="0.35">
      <c r="B52" s="21" t="s">
        <v>108</v>
      </c>
      <c r="C52" s="15">
        <v>0</v>
      </c>
      <c r="D52" s="22" t="s">
        <v>62</v>
      </c>
      <c r="E52" s="23"/>
    </row>
    <row r="53" spans="2:5" ht="18" customHeight="1" x14ac:dyDescent="0.35">
      <c r="B53" s="21" t="s">
        <v>109</v>
      </c>
      <c r="C53" s="15">
        <v>0</v>
      </c>
      <c r="D53" s="22" t="s">
        <v>62</v>
      </c>
      <c r="E53" s="23"/>
    </row>
    <row r="54" spans="2:5" ht="18" customHeight="1" x14ac:dyDescent="0.35">
      <c r="B54" s="21" t="s">
        <v>110</v>
      </c>
      <c r="C54" s="15">
        <v>0</v>
      </c>
      <c r="D54" s="22" t="s">
        <v>62</v>
      </c>
      <c r="E54" s="23"/>
    </row>
    <row r="55" spans="2:5" ht="18" customHeight="1" x14ac:dyDescent="0.35">
      <c r="B55" s="21" t="s">
        <v>111</v>
      </c>
      <c r="C55" s="15">
        <v>0</v>
      </c>
      <c r="D55" s="22" t="s">
        <v>62</v>
      </c>
      <c r="E55" s="23"/>
    </row>
    <row r="56" spans="2:5" ht="18" customHeight="1" x14ac:dyDescent="0.35">
      <c r="B56" s="24" t="s">
        <v>112</v>
      </c>
      <c r="C56" s="23"/>
      <c r="D56" s="22" t="s">
        <v>62</v>
      </c>
      <c r="E56" s="31">
        <f>SUM(C50:C55)</f>
        <v>0</v>
      </c>
    </row>
    <row r="57" spans="2:5" ht="18" customHeight="1" x14ac:dyDescent="0.35">
      <c r="B57" s="24" t="s">
        <v>113</v>
      </c>
      <c r="C57" s="23"/>
      <c r="D57" s="22" t="s">
        <v>66</v>
      </c>
      <c r="E57" s="25">
        <f>E56*C7</f>
        <v>0</v>
      </c>
    </row>
    <row r="58" spans="2:5" ht="6" customHeight="1" x14ac:dyDescent="0.35"/>
    <row r="59" spans="2:5" ht="19.5" customHeight="1" x14ac:dyDescent="0.35">
      <c r="B59" s="70" t="s">
        <v>114</v>
      </c>
      <c r="C59" s="70"/>
      <c r="D59" s="22" t="s">
        <v>66</v>
      </c>
      <c r="E59" s="29">
        <f>E32+E47+E57</f>
        <v>500</v>
      </c>
    </row>
    <row r="60" spans="2:5" ht="6" customHeight="1" x14ac:dyDescent="0.35"/>
    <row r="61" spans="2:5" ht="21.75" customHeight="1" x14ac:dyDescent="0.35">
      <c r="B61" s="66" t="s">
        <v>115</v>
      </c>
      <c r="C61" s="66"/>
      <c r="D61" s="66"/>
      <c r="E61" s="66"/>
    </row>
    <row r="62" spans="2:5" ht="18" customHeight="1" x14ac:dyDescent="0.35">
      <c r="B62" s="21" t="s">
        <v>116</v>
      </c>
      <c r="C62" s="32">
        <v>0.15</v>
      </c>
      <c r="D62" s="22" t="s">
        <v>42</v>
      </c>
      <c r="E62" s="23"/>
    </row>
    <row r="63" spans="2:5" ht="18" customHeight="1" x14ac:dyDescent="0.35">
      <c r="B63" s="21" t="s">
        <v>117</v>
      </c>
      <c r="C63" s="33">
        <v>0.3</v>
      </c>
      <c r="D63" s="22" t="s">
        <v>42</v>
      </c>
      <c r="E63" s="23"/>
    </row>
    <row r="64" spans="2:5" ht="18" customHeight="1" x14ac:dyDescent="0.35">
      <c r="B64" s="21" t="s">
        <v>118</v>
      </c>
      <c r="C64" s="32">
        <v>0.05</v>
      </c>
      <c r="D64" s="22" t="s">
        <v>42</v>
      </c>
      <c r="E64" s="23"/>
    </row>
    <row r="65" spans="2:5" ht="18" customHeight="1" x14ac:dyDescent="0.35">
      <c r="B65" s="24" t="s">
        <v>119</v>
      </c>
      <c r="C65" s="23"/>
      <c r="D65" s="22" t="s">
        <v>42</v>
      </c>
      <c r="E65" s="34">
        <f>C63+C64</f>
        <v>0.35</v>
      </c>
    </row>
    <row r="66" spans="2:5" ht="18" customHeight="1" x14ac:dyDescent="0.35">
      <c r="B66" s="24" t="s">
        <v>120</v>
      </c>
      <c r="C66" s="23"/>
      <c r="D66" s="22" t="s">
        <v>66</v>
      </c>
      <c r="E66" s="35">
        <f>IF((1-E65)=0,0,E59/(1-E65))</f>
        <v>769.23076923076917</v>
      </c>
    </row>
    <row r="67" spans="2:5" ht="6" customHeight="1" x14ac:dyDescent="0.35"/>
    <row r="68" spans="2:5" ht="21.75" customHeight="1" x14ac:dyDescent="0.35">
      <c r="B68" s="66" t="s">
        <v>121</v>
      </c>
      <c r="C68" s="66"/>
      <c r="D68" s="66"/>
      <c r="E68" s="66"/>
    </row>
    <row r="69" spans="2:5" ht="25.5" customHeight="1" x14ac:dyDescent="0.35">
      <c r="B69" s="68" t="s">
        <v>122</v>
      </c>
      <c r="C69" s="68"/>
      <c r="D69" s="68"/>
      <c r="E69" s="68"/>
    </row>
    <row r="70" spans="2:5" ht="18" customHeight="1" x14ac:dyDescent="0.35">
      <c r="B70" s="21" t="s">
        <v>123</v>
      </c>
      <c r="C70" s="12">
        <v>3</v>
      </c>
      <c r="D70" s="22" t="s">
        <v>124</v>
      </c>
      <c r="E70" s="23"/>
    </row>
    <row r="71" spans="2:5" ht="18" customHeight="1" x14ac:dyDescent="0.35">
      <c r="B71" s="21" t="s">
        <v>125</v>
      </c>
      <c r="C71" s="12">
        <v>3</v>
      </c>
      <c r="D71" s="22" t="s">
        <v>124</v>
      </c>
      <c r="E71" s="23"/>
    </row>
    <row r="72" spans="2:5" ht="18" customHeight="1" x14ac:dyDescent="0.35">
      <c r="B72" s="21" t="s">
        <v>126</v>
      </c>
      <c r="C72" s="12">
        <v>3</v>
      </c>
      <c r="D72" s="22" t="s">
        <v>124</v>
      </c>
      <c r="E72" s="23"/>
    </row>
    <row r="73" spans="2:5" ht="18" customHeight="1" x14ac:dyDescent="0.35">
      <c r="B73" s="21" t="s">
        <v>127</v>
      </c>
      <c r="C73" s="12">
        <v>3</v>
      </c>
      <c r="D73" s="22" t="s">
        <v>124</v>
      </c>
      <c r="E73" s="23"/>
    </row>
    <row r="74" spans="2:5" ht="18" customHeight="1" x14ac:dyDescent="0.35">
      <c r="B74" s="21" t="s">
        <v>128</v>
      </c>
      <c r="C74" s="12">
        <v>3</v>
      </c>
      <c r="D74" s="22" t="s">
        <v>124</v>
      </c>
      <c r="E74" s="23"/>
    </row>
    <row r="75" spans="2:5" ht="18" customHeight="1" x14ac:dyDescent="0.35">
      <c r="B75" s="21" t="s">
        <v>129</v>
      </c>
      <c r="C75" s="12">
        <v>3</v>
      </c>
      <c r="D75" s="22" t="s">
        <v>124</v>
      </c>
      <c r="E75" s="23"/>
    </row>
    <row r="76" spans="2:5" ht="18" customHeight="1" x14ac:dyDescent="0.35">
      <c r="B76" s="24" t="s">
        <v>130</v>
      </c>
      <c r="C76" s="23"/>
      <c r="D76" s="22" t="s">
        <v>131</v>
      </c>
      <c r="E76" s="31">
        <f>AVERAGE(C70:C75)</f>
        <v>3</v>
      </c>
    </row>
    <row r="77" spans="2:5" ht="18" customHeight="1" x14ac:dyDescent="0.35">
      <c r="B77" s="24" t="s">
        <v>132</v>
      </c>
      <c r="C77" s="23"/>
      <c r="D77" s="22" t="s">
        <v>133</v>
      </c>
      <c r="E77" s="35">
        <f>1+(E76-1)*0.5/4</f>
        <v>1.25</v>
      </c>
    </row>
    <row r="78" spans="2:5" ht="6" customHeight="1" x14ac:dyDescent="0.35"/>
    <row r="79" spans="2:5" ht="21.75" customHeight="1" x14ac:dyDescent="0.35">
      <c r="B79" s="66" t="s">
        <v>134</v>
      </c>
      <c r="C79" s="66"/>
      <c r="D79" s="66"/>
      <c r="E79" s="66"/>
    </row>
    <row r="80" spans="2:5" ht="18" customHeight="1" x14ac:dyDescent="0.35">
      <c r="B80" s="21" t="s">
        <v>135</v>
      </c>
      <c r="C80" s="36">
        <v>2</v>
      </c>
      <c r="D80" s="22" t="s">
        <v>136</v>
      </c>
      <c r="E80" s="23"/>
    </row>
    <row r="81" spans="2:5" ht="18" customHeight="1" x14ac:dyDescent="0.35">
      <c r="B81" s="24" t="s">
        <v>137</v>
      </c>
      <c r="C81" s="23"/>
      <c r="D81" s="22" t="s">
        <v>133</v>
      </c>
      <c r="E81" s="35">
        <f>0.85+(E80-1)*0.175</f>
        <v>0.67500000000000004</v>
      </c>
    </row>
    <row r="82" spans="2:5" ht="6" customHeight="1" x14ac:dyDescent="0.35"/>
    <row r="83" spans="2:5" ht="21.75" customHeight="1" x14ac:dyDescent="0.35">
      <c r="B83" s="66" t="s">
        <v>138</v>
      </c>
      <c r="C83" s="66"/>
      <c r="D83" s="66"/>
      <c r="E83" s="66"/>
    </row>
    <row r="84" spans="2:5" ht="18" customHeight="1" x14ac:dyDescent="0.35">
      <c r="B84" s="21" t="s">
        <v>139</v>
      </c>
      <c r="C84" s="15">
        <v>0</v>
      </c>
      <c r="D84" s="22" t="s">
        <v>66</v>
      </c>
      <c r="E84" s="23"/>
    </row>
    <row r="85" spans="2:5" ht="18" customHeight="1" x14ac:dyDescent="0.35">
      <c r="B85" s="21" t="s">
        <v>140</v>
      </c>
      <c r="C85" s="15">
        <v>0</v>
      </c>
      <c r="D85" s="22" t="s">
        <v>66</v>
      </c>
      <c r="E85" s="23"/>
    </row>
    <row r="86" spans="2:5" ht="18" customHeight="1" x14ac:dyDescent="0.35">
      <c r="B86" s="21" t="s">
        <v>141</v>
      </c>
      <c r="C86" s="15">
        <v>0</v>
      </c>
      <c r="D86" s="22" t="s">
        <v>66</v>
      </c>
      <c r="E86" s="23"/>
    </row>
    <row r="87" spans="2:5" ht="18" customHeight="1" x14ac:dyDescent="0.35">
      <c r="B87" s="21" t="s">
        <v>142</v>
      </c>
      <c r="C87" s="30">
        <v>0</v>
      </c>
      <c r="D87" s="22" t="s">
        <v>66</v>
      </c>
      <c r="E87" s="23"/>
    </row>
    <row r="88" spans="2:5" ht="18" customHeight="1" x14ac:dyDescent="0.35">
      <c r="B88" s="24" t="s">
        <v>143</v>
      </c>
      <c r="C88" s="23"/>
      <c r="D88" s="22" t="s">
        <v>66</v>
      </c>
      <c r="E88" s="25">
        <f>IFERROR(AVERAGEIF(C84:C86,"&gt;0"),0)</f>
        <v>0</v>
      </c>
    </row>
    <row r="89" spans="2:5" ht="6" customHeight="1" x14ac:dyDescent="0.35"/>
    <row r="90" spans="2:5" ht="21.75" customHeight="1" x14ac:dyDescent="0.35">
      <c r="B90" s="66" t="s">
        <v>144</v>
      </c>
      <c r="C90" s="66"/>
      <c r="D90" s="66"/>
      <c r="E90" s="66"/>
    </row>
    <row r="91" spans="2:5" ht="18" customHeight="1" x14ac:dyDescent="0.35">
      <c r="B91" s="21" t="s">
        <v>145</v>
      </c>
      <c r="C91" s="12">
        <v>3</v>
      </c>
      <c r="D91" s="22" t="s">
        <v>124</v>
      </c>
      <c r="E91" s="23"/>
    </row>
    <row r="92" spans="2:5" ht="18" customHeight="1" x14ac:dyDescent="0.35">
      <c r="B92" s="21" t="s">
        <v>146</v>
      </c>
      <c r="C92" s="12">
        <v>3</v>
      </c>
      <c r="D92" s="22" t="s">
        <v>124</v>
      </c>
      <c r="E92" s="23"/>
    </row>
    <row r="93" spans="2:5" ht="18" customHeight="1" x14ac:dyDescent="0.35">
      <c r="B93" s="21" t="s">
        <v>147</v>
      </c>
      <c r="C93" s="12">
        <v>3</v>
      </c>
      <c r="D93" s="22" t="s">
        <v>124</v>
      </c>
      <c r="E93" s="23"/>
    </row>
    <row r="94" spans="2:5" ht="18" customHeight="1" x14ac:dyDescent="0.35">
      <c r="B94" s="21" t="s">
        <v>148</v>
      </c>
      <c r="C94" s="12">
        <v>3</v>
      </c>
      <c r="D94" s="22" t="s">
        <v>124</v>
      </c>
      <c r="E94" s="23"/>
    </row>
    <row r="95" spans="2:5" ht="18" customHeight="1" x14ac:dyDescent="0.35">
      <c r="B95" s="24" t="s">
        <v>149</v>
      </c>
      <c r="C95" s="23"/>
      <c r="D95" s="22" t="s">
        <v>131</v>
      </c>
      <c r="E95" s="31">
        <f>AVERAGE(C91:C94)</f>
        <v>3</v>
      </c>
    </row>
    <row r="96" spans="2:5" ht="18" customHeight="1" x14ac:dyDescent="0.35">
      <c r="B96" s="24" t="s">
        <v>150</v>
      </c>
      <c r="C96" s="23"/>
      <c r="D96" s="22" t="s">
        <v>42</v>
      </c>
      <c r="E96" s="37">
        <f>(E95-1)*0.05</f>
        <v>0.1</v>
      </c>
    </row>
    <row r="97" spans="2:5" ht="6" customHeight="1" x14ac:dyDescent="0.35"/>
    <row r="98" spans="2:5" ht="21.75" customHeight="1" x14ac:dyDescent="0.35">
      <c r="B98" s="66" t="s">
        <v>151</v>
      </c>
      <c r="C98" s="66"/>
      <c r="D98" s="66"/>
      <c r="E98" s="66"/>
    </row>
    <row r="99" spans="2:5" ht="18" customHeight="1" x14ac:dyDescent="0.35">
      <c r="B99" s="21" t="s">
        <v>152</v>
      </c>
      <c r="C99" s="36">
        <v>3</v>
      </c>
      <c r="D99" s="22" t="s">
        <v>124</v>
      </c>
      <c r="E99" s="23"/>
    </row>
    <row r="100" spans="2:5" ht="18" customHeight="1" x14ac:dyDescent="0.35">
      <c r="B100" s="21" t="s">
        <v>153</v>
      </c>
      <c r="C100" s="15">
        <v>1</v>
      </c>
      <c r="D100" s="22" t="s">
        <v>154</v>
      </c>
      <c r="E100" s="23"/>
    </row>
    <row r="101" spans="2:5" ht="6" customHeight="1" x14ac:dyDescent="0.35"/>
    <row r="102" spans="2:5" ht="21.75" customHeight="1" x14ac:dyDescent="0.35">
      <c r="B102" s="66" t="s">
        <v>155</v>
      </c>
      <c r="C102" s="66"/>
      <c r="D102" s="66"/>
      <c r="E102" s="66"/>
    </row>
    <row r="103" spans="2:5" ht="18" customHeight="1" x14ac:dyDescent="0.35">
      <c r="B103" s="24" t="s">
        <v>156</v>
      </c>
      <c r="C103" s="23"/>
      <c r="D103" s="22" t="s">
        <v>66</v>
      </c>
      <c r="E103" s="35">
        <f>E66</f>
        <v>769.23076923076917</v>
      </c>
    </row>
    <row r="104" spans="2:5" ht="18" customHeight="1" x14ac:dyDescent="0.35">
      <c r="B104" s="24" t="s">
        <v>157</v>
      </c>
      <c r="C104" s="23"/>
      <c r="D104" s="22" t="s">
        <v>66</v>
      </c>
      <c r="E104" s="35">
        <f>E103*E77</f>
        <v>961.53846153846143</v>
      </c>
    </row>
    <row r="105" spans="2:5" ht="18" customHeight="1" x14ac:dyDescent="0.35">
      <c r="B105" s="24" t="s">
        <v>158</v>
      </c>
      <c r="C105" s="23"/>
      <c r="D105" s="22" t="s">
        <v>66</v>
      </c>
      <c r="E105" s="35">
        <f>E104*E81</f>
        <v>649.03846153846155</v>
      </c>
    </row>
    <row r="106" spans="2:5" ht="18" customHeight="1" x14ac:dyDescent="0.35">
      <c r="B106" s="24" t="s">
        <v>159</v>
      </c>
      <c r="C106" s="23"/>
      <c r="D106" s="22" t="s">
        <v>66</v>
      </c>
      <c r="E106" s="35">
        <f>E105*E96</f>
        <v>64.90384615384616</v>
      </c>
    </row>
    <row r="107" spans="2:5" ht="18" customHeight="1" x14ac:dyDescent="0.35">
      <c r="B107" s="24" t="s">
        <v>160</v>
      </c>
      <c r="C107" s="23"/>
      <c r="D107" s="22" t="s">
        <v>66</v>
      </c>
      <c r="E107" s="35">
        <f>E105+E106</f>
        <v>713.94230769230774</v>
      </c>
    </row>
    <row r="108" spans="2:5" ht="18" customHeight="1" x14ac:dyDescent="0.35">
      <c r="B108" s="21" t="s">
        <v>161</v>
      </c>
      <c r="C108" s="23"/>
      <c r="D108" s="22" t="s">
        <v>42</v>
      </c>
      <c r="E108" s="38">
        <f>'🏠 Portada'!C10/100</f>
        <v>0.21</v>
      </c>
    </row>
    <row r="109" spans="2:5" ht="18" customHeight="1" x14ac:dyDescent="0.35">
      <c r="B109" s="21" t="s">
        <v>162</v>
      </c>
      <c r="C109" s="23"/>
      <c r="D109" s="22" t="s">
        <v>66</v>
      </c>
      <c r="E109" s="28">
        <f>E107*E108</f>
        <v>149.92788461538461</v>
      </c>
    </row>
    <row r="110" spans="2:5" ht="25.5" customHeight="1" x14ac:dyDescent="0.35">
      <c r="B110" s="67" t="s">
        <v>163</v>
      </c>
      <c r="C110" s="67"/>
      <c r="D110" s="67"/>
      <c r="E110" s="39">
        <f>E107+E109</f>
        <v>863.87019230769238</v>
      </c>
    </row>
    <row r="111" spans="2:5" ht="6" customHeight="1" x14ac:dyDescent="0.35"/>
    <row r="112" spans="2:5" ht="18" customHeight="1" x14ac:dyDescent="0.35">
      <c r="B112" s="21" t="s">
        <v>164</v>
      </c>
      <c r="C112" s="23"/>
      <c r="D112" s="22" t="s">
        <v>66</v>
      </c>
      <c r="E112" s="28">
        <f>IF(C100&gt;1,E110/C100,E110)</f>
        <v>863.87019230769238</v>
      </c>
    </row>
    <row r="113" spans="2:5" ht="18" customHeight="1" x14ac:dyDescent="0.35">
      <c r="B113" s="21" t="s">
        <v>165</v>
      </c>
      <c r="C113" s="23"/>
      <c r="D113" s="22" t="s">
        <v>66</v>
      </c>
      <c r="E113" s="28">
        <f>IF((1-C62-C64)=0,0,E59/(1-C62-C64)*(1+E108))</f>
        <v>756.25</v>
      </c>
    </row>
    <row r="114" spans="2:5" ht="6" customHeight="1" x14ac:dyDescent="0.35"/>
    <row r="115" spans="2:5" ht="19.5" customHeight="1" x14ac:dyDescent="0.35">
      <c r="B115" s="58" t="s">
        <v>166</v>
      </c>
      <c r="C115" s="58"/>
      <c r="D115" s="58"/>
      <c r="E115" s="58"/>
    </row>
    <row r="116" spans="2:5" ht="18" customHeight="1" x14ac:dyDescent="0.35">
      <c r="B116" s="24" t="s">
        <v>167</v>
      </c>
      <c r="C116" s="23"/>
      <c r="D116" s="22" t="s">
        <v>42</v>
      </c>
      <c r="E116" s="40">
        <f>IF(E110=0,0,(E110-E59*(1+E108))/E110)</f>
        <v>0.29966329966329974</v>
      </c>
    </row>
    <row r="117" spans="2:5" ht="18" customHeight="1" x14ac:dyDescent="0.35">
      <c r="B117" s="24" t="s">
        <v>168</v>
      </c>
      <c r="C117" s="23"/>
      <c r="D117" s="22" t="s">
        <v>66</v>
      </c>
      <c r="E117" s="41">
        <f>E107-E59</f>
        <v>213.94230769230774</v>
      </c>
    </row>
    <row r="118" spans="2:5" ht="18" customHeight="1" x14ac:dyDescent="0.35">
      <c r="B118" s="21" t="s">
        <v>169</v>
      </c>
      <c r="C118" s="23"/>
      <c r="D118" s="22" t="s">
        <v>66</v>
      </c>
      <c r="E118" s="42">
        <f>E110-IF((1-C62-C64)=0,0,E59/(1-C62-C64)*(1+E108))</f>
        <v>107.62019230769238</v>
      </c>
    </row>
    <row r="119" spans="2:5" ht="18" customHeight="1" x14ac:dyDescent="0.35">
      <c r="B119" s="21" t="s">
        <v>170</v>
      </c>
      <c r="C119" s="23"/>
      <c r="D119" s="22" t="s">
        <v>66</v>
      </c>
      <c r="E119" s="42">
        <f>IF(E88=0,0,E110-E88)</f>
        <v>0</v>
      </c>
    </row>
    <row r="120" spans="2:5" ht="9.75" customHeight="1" x14ac:dyDescent="0.35"/>
    <row r="121" spans="2:5" ht="24" customHeight="1" x14ac:dyDescent="0.35">
      <c r="B121" s="65" t="s">
        <v>171</v>
      </c>
      <c r="C121" s="65"/>
      <c r="D121" s="65"/>
      <c r="E121" s="65"/>
    </row>
  </sheetData>
  <mergeCells count="21">
    <mergeCell ref="B1:E2"/>
    <mergeCell ref="B4:E4"/>
    <mergeCell ref="B5:E5"/>
    <mergeCell ref="B9:E9"/>
    <mergeCell ref="B25:C25"/>
    <mergeCell ref="B26:E26"/>
    <mergeCell ref="B32:C32"/>
    <mergeCell ref="B34:E34"/>
    <mergeCell ref="B49:E49"/>
    <mergeCell ref="B59:C59"/>
    <mergeCell ref="B61:E61"/>
    <mergeCell ref="B68:E68"/>
    <mergeCell ref="B69:E69"/>
    <mergeCell ref="B79:E79"/>
    <mergeCell ref="B83:E83"/>
    <mergeCell ref="B121:E121"/>
    <mergeCell ref="B90:E90"/>
    <mergeCell ref="B98:E98"/>
    <mergeCell ref="B102:E102"/>
    <mergeCell ref="B110:D110"/>
    <mergeCell ref="B115:E1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21"/>
  <sheetViews>
    <sheetView showGridLines="0" zoomScaleNormal="100" workbookViewId="0">
      <selection activeCell="C65" sqref="C65"/>
    </sheetView>
  </sheetViews>
  <sheetFormatPr defaultColWidth="8.6328125" defaultRowHeight="14.5" x14ac:dyDescent="0.35"/>
  <cols>
    <col min="1" max="1" width="2" customWidth="1"/>
    <col min="2" max="2" width="57.54296875" bestFit="1" customWidth="1"/>
    <col min="3" max="3" width="18" customWidth="1"/>
    <col min="4" max="4" width="12" customWidth="1"/>
    <col min="5" max="5" width="14" customWidth="1"/>
    <col min="6" max="6" width="2" customWidth="1"/>
  </cols>
  <sheetData>
    <row r="1" spans="2:5" ht="19.5" customHeight="1" x14ac:dyDescent="0.35">
      <c r="B1" s="55" t="s">
        <v>172</v>
      </c>
      <c r="C1" s="55"/>
      <c r="D1" s="55"/>
      <c r="E1" s="55"/>
    </row>
    <row r="2" spans="2:5" ht="19.5" customHeight="1" x14ac:dyDescent="0.35">
      <c r="B2" s="55"/>
      <c r="C2" s="55"/>
      <c r="D2" s="55"/>
      <c r="E2" s="55"/>
    </row>
    <row r="3" spans="2:5" ht="7.5" customHeight="1" x14ac:dyDescent="0.35"/>
    <row r="4" spans="2:5" ht="21.75" customHeight="1" x14ac:dyDescent="0.35">
      <c r="B4" s="66" t="s">
        <v>59</v>
      </c>
      <c r="C4" s="66"/>
      <c r="D4" s="66"/>
      <c r="E4" s="66"/>
    </row>
    <row r="5" spans="2:5" ht="18" customHeight="1" x14ac:dyDescent="0.35">
      <c r="B5" s="69" t="s">
        <v>60</v>
      </c>
      <c r="C5" s="69"/>
      <c r="D5" s="69"/>
      <c r="E5" s="69"/>
    </row>
    <row r="6" spans="2:5" ht="18" customHeight="1" x14ac:dyDescent="0.35">
      <c r="B6" s="21" t="s">
        <v>61</v>
      </c>
      <c r="C6" s="15">
        <v>10</v>
      </c>
      <c r="D6" s="22" t="s">
        <v>62</v>
      </c>
      <c r="E6" s="23"/>
    </row>
    <row r="7" spans="2:5" ht="18" customHeight="1" x14ac:dyDescent="0.35">
      <c r="B7" s="21" t="s">
        <v>63</v>
      </c>
      <c r="C7" s="15">
        <v>50</v>
      </c>
      <c r="D7" s="22" t="s">
        <v>64</v>
      </c>
      <c r="E7" s="23"/>
    </row>
    <row r="8" spans="2:5" ht="18" customHeight="1" x14ac:dyDescent="0.35">
      <c r="B8" s="24" t="s">
        <v>65</v>
      </c>
      <c r="C8" s="23"/>
      <c r="D8" s="22" t="s">
        <v>66</v>
      </c>
      <c r="E8" s="25">
        <f>C6*C7</f>
        <v>500</v>
      </c>
    </row>
    <row r="9" spans="2:5" ht="18" customHeight="1" x14ac:dyDescent="0.35">
      <c r="B9" s="69" t="s">
        <v>67</v>
      </c>
      <c r="C9" s="69"/>
      <c r="D9" s="69"/>
      <c r="E9" s="69"/>
    </row>
    <row r="10" spans="2:5" ht="18" customHeight="1" x14ac:dyDescent="0.35">
      <c r="B10" s="26" t="s">
        <v>68</v>
      </c>
      <c r="C10" s="15">
        <v>0</v>
      </c>
      <c r="D10" s="22" t="s">
        <v>62</v>
      </c>
      <c r="E10" s="23"/>
    </row>
    <row r="11" spans="2:5" ht="18" customHeight="1" x14ac:dyDescent="0.35">
      <c r="B11" s="26" t="s">
        <v>69</v>
      </c>
      <c r="C11" s="15">
        <v>0</v>
      </c>
      <c r="D11" s="22" t="s">
        <v>64</v>
      </c>
      <c r="E11" s="23"/>
    </row>
    <row r="12" spans="2:5" ht="15.75" customHeight="1" x14ac:dyDescent="0.35">
      <c r="B12" s="27" t="s">
        <v>70</v>
      </c>
      <c r="C12" s="23"/>
      <c r="D12" s="23"/>
      <c r="E12" s="28">
        <f>C10*C11</f>
        <v>0</v>
      </c>
    </row>
    <row r="13" spans="2:5" ht="18" customHeight="1" x14ac:dyDescent="0.35">
      <c r="B13" s="26" t="s">
        <v>71</v>
      </c>
      <c r="C13" s="15">
        <v>0</v>
      </c>
      <c r="D13" s="22" t="s">
        <v>62</v>
      </c>
      <c r="E13" s="23"/>
    </row>
    <row r="14" spans="2:5" ht="18" customHeight="1" x14ac:dyDescent="0.35">
      <c r="B14" s="26" t="s">
        <v>72</v>
      </c>
      <c r="C14" s="15">
        <v>0</v>
      </c>
      <c r="D14" s="22" t="s">
        <v>64</v>
      </c>
      <c r="E14" s="23"/>
    </row>
    <row r="15" spans="2:5" ht="15.75" customHeight="1" x14ac:dyDescent="0.35">
      <c r="B15" s="27" t="s">
        <v>73</v>
      </c>
      <c r="C15" s="23"/>
      <c r="D15" s="23"/>
      <c r="E15" s="28">
        <f>C13*C14</f>
        <v>0</v>
      </c>
    </row>
    <row r="16" spans="2:5" ht="18" customHeight="1" x14ac:dyDescent="0.35">
      <c r="B16" s="26" t="s">
        <v>74</v>
      </c>
      <c r="C16" s="15">
        <v>0</v>
      </c>
      <c r="D16" s="22" t="s">
        <v>62</v>
      </c>
      <c r="E16" s="23"/>
    </row>
    <row r="17" spans="2:5" ht="18" customHeight="1" x14ac:dyDescent="0.35">
      <c r="B17" s="26" t="s">
        <v>75</v>
      </c>
      <c r="C17" s="15">
        <v>0</v>
      </c>
      <c r="D17" s="22" t="s">
        <v>64</v>
      </c>
      <c r="E17" s="23"/>
    </row>
    <row r="18" spans="2:5" ht="15.75" customHeight="1" x14ac:dyDescent="0.35">
      <c r="B18" s="27" t="s">
        <v>76</v>
      </c>
      <c r="C18" s="23"/>
      <c r="D18" s="23"/>
      <c r="E18" s="28">
        <f>C16*C17</f>
        <v>0</v>
      </c>
    </row>
    <row r="19" spans="2:5" ht="18" customHeight="1" x14ac:dyDescent="0.35">
      <c r="B19" s="26" t="s">
        <v>77</v>
      </c>
      <c r="C19" s="15">
        <v>0</v>
      </c>
      <c r="D19" s="22" t="s">
        <v>62</v>
      </c>
      <c r="E19" s="23"/>
    </row>
    <row r="20" spans="2:5" ht="18" customHeight="1" x14ac:dyDescent="0.35">
      <c r="B20" s="26" t="s">
        <v>78</v>
      </c>
      <c r="C20" s="15">
        <v>0</v>
      </c>
      <c r="D20" s="22" t="s">
        <v>64</v>
      </c>
      <c r="E20" s="23"/>
    </row>
    <row r="21" spans="2:5" ht="15.75" customHeight="1" x14ac:dyDescent="0.35">
      <c r="B21" s="27" t="s">
        <v>79</v>
      </c>
      <c r="C21" s="23"/>
      <c r="D21" s="23"/>
      <c r="E21" s="28">
        <f>C19*C20</f>
        <v>0</v>
      </c>
    </row>
    <row r="22" spans="2:5" ht="18" customHeight="1" x14ac:dyDescent="0.35">
      <c r="B22" s="26" t="s">
        <v>80</v>
      </c>
      <c r="C22" s="15">
        <v>0</v>
      </c>
      <c r="D22" s="22" t="s">
        <v>62</v>
      </c>
      <c r="E22" s="23"/>
    </row>
    <row r="23" spans="2:5" ht="18" customHeight="1" x14ac:dyDescent="0.35">
      <c r="B23" s="26" t="s">
        <v>81</v>
      </c>
      <c r="C23" s="15">
        <v>0</v>
      </c>
      <c r="D23" s="22" t="s">
        <v>64</v>
      </c>
      <c r="E23" s="23"/>
    </row>
    <row r="24" spans="2:5" ht="15.75" customHeight="1" x14ac:dyDescent="0.35">
      <c r="B24" s="27" t="s">
        <v>82</v>
      </c>
      <c r="C24" s="23"/>
      <c r="D24" s="23"/>
      <c r="E24" s="28">
        <f>C22*C23</f>
        <v>0</v>
      </c>
    </row>
    <row r="25" spans="2:5" ht="19.5" customHeight="1" x14ac:dyDescent="0.35">
      <c r="B25" s="71" t="s">
        <v>83</v>
      </c>
      <c r="C25" s="71"/>
      <c r="D25" s="22" t="s">
        <v>66</v>
      </c>
      <c r="E25" s="25">
        <f>E12+E15+E18+E21+E24</f>
        <v>0</v>
      </c>
    </row>
    <row r="26" spans="2:5" ht="18" customHeight="1" x14ac:dyDescent="0.35">
      <c r="B26" s="69" t="s">
        <v>84</v>
      </c>
      <c r="C26" s="69"/>
      <c r="D26" s="69"/>
      <c r="E26" s="69"/>
    </row>
    <row r="27" spans="2:5" ht="18" customHeight="1" x14ac:dyDescent="0.35">
      <c r="B27" s="21" t="s">
        <v>85</v>
      </c>
      <c r="C27" s="15">
        <v>0</v>
      </c>
      <c r="D27" s="22" t="s">
        <v>66</v>
      </c>
      <c r="E27" s="23"/>
    </row>
    <row r="28" spans="2:5" ht="18" customHeight="1" x14ac:dyDescent="0.35">
      <c r="B28" s="21" t="s">
        <v>86</v>
      </c>
      <c r="C28" s="15">
        <v>0</v>
      </c>
      <c r="D28" s="22" t="s">
        <v>66</v>
      </c>
      <c r="E28" s="23"/>
    </row>
    <row r="29" spans="2:5" ht="18" customHeight="1" x14ac:dyDescent="0.35">
      <c r="B29" s="21" t="s">
        <v>87</v>
      </c>
      <c r="C29" s="15">
        <v>0</v>
      </c>
      <c r="D29" s="22" t="s">
        <v>66</v>
      </c>
      <c r="E29" s="23"/>
    </row>
    <row r="30" spans="2:5" ht="18" customHeight="1" x14ac:dyDescent="0.35">
      <c r="B30" s="21" t="s">
        <v>173</v>
      </c>
      <c r="C30" s="15">
        <v>0</v>
      </c>
      <c r="D30" s="22" t="s">
        <v>66</v>
      </c>
      <c r="E30" s="23"/>
    </row>
    <row r="31" spans="2:5" ht="18" customHeight="1" x14ac:dyDescent="0.35">
      <c r="B31" s="21" t="s">
        <v>174</v>
      </c>
      <c r="C31" s="15">
        <v>0</v>
      </c>
      <c r="D31" s="22" t="s">
        <v>66</v>
      </c>
      <c r="E31" s="23"/>
    </row>
    <row r="32" spans="2:5" ht="19.5" customHeight="1" x14ac:dyDescent="0.35">
      <c r="B32" s="70" t="s">
        <v>90</v>
      </c>
      <c r="C32" s="70"/>
      <c r="D32" s="22" t="s">
        <v>66</v>
      </c>
      <c r="E32" s="29">
        <f>E8+E25+E27+E28+E29+E30+E31</f>
        <v>500</v>
      </c>
    </row>
    <row r="33" spans="2:5" ht="6" customHeight="1" x14ac:dyDescent="0.35"/>
    <row r="34" spans="2:5" ht="21.75" customHeight="1" x14ac:dyDescent="0.35">
      <c r="B34" s="66" t="s">
        <v>91</v>
      </c>
      <c r="C34" s="66"/>
      <c r="D34" s="66"/>
      <c r="E34" s="66"/>
    </row>
    <row r="35" spans="2:5" ht="19.5" customHeight="1" x14ac:dyDescent="0.35">
      <c r="B35" s="24" t="s">
        <v>92</v>
      </c>
      <c r="C35" s="23"/>
      <c r="D35" s="22" t="s">
        <v>44</v>
      </c>
      <c r="E35" s="20">
        <f>'👥 Equipo'!G17</f>
        <v>0</v>
      </c>
    </row>
    <row r="36" spans="2:5" ht="18" customHeight="1" x14ac:dyDescent="0.35">
      <c r="B36" s="21" t="s">
        <v>93</v>
      </c>
      <c r="C36" s="15">
        <v>0</v>
      </c>
      <c r="D36" s="22" t="s">
        <v>44</v>
      </c>
      <c r="E36" s="23"/>
    </row>
    <row r="37" spans="2:5" ht="18" customHeight="1" x14ac:dyDescent="0.35">
      <c r="B37" s="21" t="s">
        <v>94</v>
      </c>
      <c r="C37" s="15">
        <v>0</v>
      </c>
      <c r="D37" s="22" t="s">
        <v>44</v>
      </c>
      <c r="E37" s="23"/>
    </row>
    <row r="38" spans="2:5" ht="18" customHeight="1" x14ac:dyDescent="0.35">
      <c r="B38" s="21" t="s">
        <v>95</v>
      </c>
      <c r="C38" s="15">
        <v>0</v>
      </c>
      <c r="D38" s="22" t="s">
        <v>44</v>
      </c>
      <c r="E38" s="23"/>
    </row>
    <row r="39" spans="2:5" ht="18" customHeight="1" x14ac:dyDescent="0.35">
      <c r="B39" s="21" t="s">
        <v>96</v>
      </c>
      <c r="C39" s="15">
        <v>0</v>
      </c>
      <c r="D39" s="22" t="s">
        <v>44</v>
      </c>
      <c r="E39" s="23"/>
    </row>
    <row r="40" spans="2:5" ht="18" customHeight="1" x14ac:dyDescent="0.35">
      <c r="B40" s="21" t="s">
        <v>97</v>
      </c>
      <c r="C40" s="15">
        <v>0</v>
      </c>
      <c r="D40" s="22" t="s">
        <v>44</v>
      </c>
      <c r="E40" s="23"/>
    </row>
    <row r="41" spans="2:5" ht="18" customHeight="1" x14ac:dyDescent="0.35">
      <c r="B41" s="21" t="s">
        <v>98</v>
      </c>
      <c r="C41" s="15">
        <v>0</v>
      </c>
      <c r="D41" s="22" t="s">
        <v>44</v>
      </c>
      <c r="E41" s="23"/>
    </row>
    <row r="42" spans="2:5" ht="18" customHeight="1" x14ac:dyDescent="0.35">
      <c r="B42" s="21" t="s">
        <v>99</v>
      </c>
      <c r="C42" s="15">
        <v>0</v>
      </c>
      <c r="D42" s="22" t="s">
        <v>44</v>
      </c>
      <c r="E42" s="23"/>
    </row>
    <row r="43" spans="2:5" ht="18" customHeight="1" x14ac:dyDescent="0.35">
      <c r="B43" s="21" t="s">
        <v>100</v>
      </c>
      <c r="C43" s="23"/>
      <c r="D43" s="22" t="s">
        <v>66</v>
      </c>
      <c r="E43" s="28">
        <f>SUM(C36:C42)</f>
        <v>0</v>
      </c>
    </row>
    <row r="44" spans="2:5" ht="18" customHeight="1" x14ac:dyDescent="0.35">
      <c r="B44" s="24" t="s">
        <v>101</v>
      </c>
      <c r="C44" s="23"/>
      <c r="D44" s="22" t="s">
        <v>66</v>
      </c>
      <c r="E44" s="25">
        <f>E43+E35</f>
        <v>0</v>
      </c>
    </row>
    <row r="45" spans="2:5" ht="19.5" customHeight="1" x14ac:dyDescent="0.35">
      <c r="B45" s="24" t="s">
        <v>102</v>
      </c>
      <c r="C45" s="23"/>
      <c r="D45" s="22" t="s">
        <v>41</v>
      </c>
      <c r="E45" s="18">
        <f>'👥 Equipo'!F17</f>
        <v>960</v>
      </c>
    </row>
    <row r="46" spans="2:5" ht="18" customHeight="1" x14ac:dyDescent="0.35">
      <c r="B46" s="21" t="s">
        <v>103</v>
      </c>
      <c r="C46" s="30">
        <v>10</v>
      </c>
      <c r="D46" s="22" t="s">
        <v>62</v>
      </c>
      <c r="E46" s="23"/>
    </row>
    <row r="47" spans="2:5" ht="18" customHeight="1" x14ac:dyDescent="0.35">
      <c r="B47" s="24" t="s">
        <v>104</v>
      </c>
      <c r="C47" s="23"/>
      <c r="D47" s="22" t="s">
        <v>66</v>
      </c>
      <c r="E47" s="25">
        <f>IF(E45=0,0,E44/E45*C46)</f>
        <v>0</v>
      </c>
    </row>
    <row r="48" spans="2:5" ht="6" customHeight="1" x14ac:dyDescent="0.35"/>
    <row r="49" spans="2:5" ht="21.75" customHeight="1" x14ac:dyDescent="0.35">
      <c r="B49" s="66" t="s">
        <v>105</v>
      </c>
      <c r="C49" s="66"/>
      <c r="D49" s="66"/>
      <c r="E49" s="66"/>
    </row>
    <row r="50" spans="2:5" ht="18" customHeight="1" x14ac:dyDescent="0.35">
      <c r="B50" s="21" t="s">
        <v>106</v>
      </c>
      <c r="C50" s="15">
        <v>0</v>
      </c>
      <c r="D50" s="22" t="s">
        <v>62</v>
      </c>
      <c r="E50" s="23"/>
    </row>
    <row r="51" spans="2:5" ht="18" customHeight="1" x14ac:dyDescent="0.35">
      <c r="B51" s="21" t="s">
        <v>107</v>
      </c>
      <c r="C51" s="15">
        <v>0</v>
      </c>
      <c r="D51" s="22" t="s">
        <v>62</v>
      </c>
      <c r="E51" s="23"/>
    </row>
    <row r="52" spans="2:5" ht="18" customHeight="1" x14ac:dyDescent="0.35">
      <c r="B52" s="21" t="s">
        <v>108</v>
      </c>
      <c r="C52" s="15">
        <v>0</v>
      </c>
      <c r="D52" s="22" t="s">
        <v>62</v>
      </c>
      <c r="E52" s="23"/>
    </row>
    <row r="53" spans="2:5" ht="18" customHeight="1" x14ac:dyDescent="0.35">
      <c r="B53" s="21" t="s">
        <v>109</v>
      </c>
      <c r="C53" s="15">
        <v>0</v>
      </c>
      <c r="D53" s="22" t="s">
        <v>62</v>
      </c>
      <c r="E53" s="23"/>
    </row>
    <row r="54" spans="2:5" ht="18" customHeight="1" x14ac:dyDescent="0.35">
      <c r="B54" s="21" t="s">
        <v>110</v>
      </c>
      <c r="C54" s="15">
        <v>0</v>
      </c>
      <c r="D54" s="22" t="s">
        <v>62</v>
      </c>
      <c r="E54" s="23"/>
    </row>
    <row r="55" spans="2:5" ht="18" customHeight="1" x14ac:dyDescent="0.35">
      <c r="B55" s="21" t="s">
        <v>111</v>
      </c>
      <c r="C55" s="15">
        <v>0</v>
      </c>
      <c r="D55" s="22" t="s">
        <v>62</v>
      </c>
      <c r="E55" s="23"/>
    </row>
    <row r="56" spans="2:5" ht="18" customHeight="1" x14ac:dyDescent="0.35">
      <c r="B56" s="24" t="s">
        <v>112</v>
      </c>
      <c r="C56" s="23"/>
      <c r="D56" s="22" t="s">
        <v>62</v>
      </c>
      <c r="E56" s="31">
        <f>SUM(C50:C55)</f>
        <v>0</v>
      </c>
    </row>
    <row r="57" spans="2:5" ht="18" customHeight="1" x14ac:dyDescent="0.35">
      <c r="B57" s="24" t="s">
        <v>113</v>
      </c>
      <c r="C57" s="23"/>
      <c r="D57" s="22" t="s">
        <v>66</v>
      </c>
      <c r="E57" s="25">
        <f>E56*C7</f>
        <v>0</v>
      </c>
    </row>
    <row r="58" spans="2:5" ht="6" customHeight="1" x14ac:dyDescent="0.35"/>
    <row r="59" spans="2:5" ht="19.5" customHeight="1" x14ac:dyDescent="0.35">
      <c r="B59" s="70" t="s">
        <v>114</v>
      </c>
      <c r="C59" s="70"/>
      <c r="D59" s="22" t="s">
        <v>66</v>
      </c>
      <c r="E59" s="29">
        <f>E32+E47+E57</f>
        <v>500</v>
      </c>
    </row>
    <row r="60" spans="2:5" ht="6" customHeight="1" x14ac:dyDescent="0.35"/>
    <row r="61" spans="2:5" ht="21.75" customHeight="1" x14ac:dyDescent="0.35">
      <c r="B61" s="66" t="s">
        <v>115</v>
      </c>
      <c r="C61" s="66"/>
      <c r="D61" s="66"/>
      <c r="E61" s="66"/>
    </row>
    <row r="62" spans="2:5" ht="18" customHeight="1" x14ac:dyDescent="0.35">
      <c r="B62" s="21" t="s">
        <v>116</v>
      </c>
      <c r="C62" s="32">
        <v>0.15</v>
      </c>
      <c r="D62" s="22" t="s">
        <v>42</v>
      </c>
      <c r="E62" s="23"/>
    </row>
    <row r="63" spans="2:5" ht="18" customHeight="1" x14ac:dyDescent="0.35">
      <c r="B63" s="21" t="s">
        <v>117</v>
      </c>
      <c r="C63" s="33">
        <v>0.3</v>
      </c>
      <c r="D63" s="22" t="s">
        <v>42</v>
      </c>
      <c r="E63" s="23"/>
    </row>
    <row r="64" spans="2:5" ht="18" customHeight="1" x14ac:dyDescent="0.35">
      <c r="B64" s="21" t="s">
        <v>118</v>
      </c>
      <c r="C64" s="32">
        <v>0.05</v>
      </c>
      <c r="D64" s="22" t="s">
        <v>42</v>
      </c>
      <c r="E64" s="23"/>
    </row>
    <row r="65" spans="2:5" ht="18" customHeight="1" x14ac:dyDescent="0.35">
      <c r="B65" s="24" t="s">
        <v>119</v>
      </c>
      <c r="C65" s="23"/>
      <c r="D65" s="22" t="s">
        <v>42</v>
      </c>
      <c r="E65" s="34">
        <f>C63+C64</f>
        <v>0.35</v>
      </c>
    </row>
    <row r="66" spans="2:5" ht="18" customHeight="1" x14ac:dyDescent="0.35">
      <c r="B66" s="24" t="s">
        <v>120</v>
      </c>
      <c r="C66" s="23"/>
      <c r="D66" s="22" t="s">
        <v>66</v>
      </c>
      <c r="E66" s="35">
        <f>IF((1-E65)=0,0,E59/(1-E65))</f>
        <v>769.23076923076917</v>
      </c>
    </row>
    <row r="67" spans="2:5" ht="6" customHeight="1" x14ac:dyDescent="0.35"/>
    <row r="68" spans="2:5" ht="21.75" customHeight="1" x14ac:dyDescent="0.35">
      <c r="B68" s="66" t="s">
        <v>121</v>
      </c>
      <c r="C68" s="66"/>
      <c r="D68" s="66"/>
      <c r="E68" s="66"/>
    </row>
    <row r="69" spans="2:5" ht="25.5" customHeight="1" x14ac:dyDescent="0.35">
      <c r="B69" s="68" t="s">
        <v>122</v>
      </c>
      <c r="C69" s="68"/>
      <c r="D69" s="68"/>
      <c r="E69" s="68"/>
    </row>
    <row r="70" spans="2:5" ht="18" customHeight="1" x14ac:dyDescent="0.35">
      <c r="B70" s="21" t="s">
        <v>123</v>
      </c>
      <c r="C70" s="12">
        <v>3</v>
      </c>
      <c r="D70" s="22" t="s">
        <v>124</v>
      </c>
      <c r="E70" s="23"/>
    </row>
    <row r="71" spans="2:5" ht="18" customHeight="1" x14ac:dyDescent="0.35">
      <c r="B71" s="21" t="s">
        <v>125</v>
      </c>
      <c r="C71" s="12">
        <v>3</v>
      </c>
      <c r="D71" s="22" t="s">
        <v>124</v>
      </c>
      <c r="E71" s="23"/>
    </row>
    <row r="72" spans="2:5" ht="18" customHeight="1" x14ac:dyDescent="0.35">
      <c r="B72" s="21" t="s">
        <v>126</v>
      </c>
      <c r="C72" s="12">
        <v>3</v>
      </c>
      <c r="D72" s="22" t="s">
        <v>124</v>
      </c>
      <c r="E72" s="23"/>
    </row>
    <row r="73" spans="2:5" ht="18" customHeight="1" x14ac:dyDescent="0.35">
      <c r="B73" s="21" t="s">
        <v>127</v>
      </c>
      <c r="C73" s="12">
        <v>3</v>
      </c>
      <c r="D73" s="22" t="s">
        <v>124</v>
      </c>
      <c r="E73" s="23"/>
    </row>
    <row r="74" spans="2:5" ht="18" customHeight="1" x14ac:dyDescent="0.35">
      <c r="B74" s="21" t="s">
        <v>128</v>
      </c>
      <c r="C74" s="12">
        <v>3</v>
      </c>
      <c r="D74" s="22" t="s">
        <v>124</v>
      </c>
      <c r="E74" s="23"/>
    </row>
    <row r="75" spans="2:5" ht="18" customHeight="1" x14ac:dyDescent="0.35">
      <c r="B75" s="21" t="s">
        <v>129</v>
      </c>
      <c r="C75" s="12">
        <v>3</v>
      </c>
      <c r="D75" s="22" t="s">
        <v>124</v>
      </c>
      <c r="E75" s="23"/>
    </row>
    <row r="76" spans="2:5" ht="18" customHeight="1" x14ac:dyDescent="0.35">
      <c r="B76" s="24" t="s">
        <v>130</v>
      </c>
      <c r="C76" s="23"/>
      <c r="D76" s="22" t="s">
        <v>131</v>
      </c>
      <c r="E76" s="31">
        <f>AVERAGE(C70:C75)</f>
        <v>3</v>
      </c>
    </row>
    <row r="77" spans="2:5" ht="18" customHeight="1" x14ac:dyDescent="0.35">
      <c r="B77" s="24" t="s">
        <v>132</v>
      </c>
      <c r="C77" s="23"/>
      <c r="D77" s="22" t="s">
        <v>133</v>
      </c>
      <c r="E77" s="35">
        <f>1+(E76-1)*0.5/4</f>
        <v>1.25</v>
      </c>
    </row>
    <row r="78" spans="2:5" ht="6" customHeight="1" x14ac:dyDescent="0.35"/>
    <row r="79" spans="2:5" ht="21.75" customHeight="1" x14ac:dyDescent="0.35">
      <c r="B79" s="66" t="s">
        <v>134</v>
      </c>
      <c r="C79" s="66"/>
      <c r="D79" s="66"/>
      <c r="E79" s="66"/>
    </row>
    <row r="80" spans="2:5" ht="18" customHeight="1" x14ac:dyDescent="0.35">
      <c r="B80" s="21" t="s">
        <v>135</v>
      </c>
      <c r="C80" s="36">
        <v>2</v>
      </c>
      <c r="D80" s="22" t="s">
        <v>136</v>
      </c>
      <c r="E80" s="23"/>
    </row>
    <row r="81" spans="2:5" ht="18" customHeight="1" x14ac:dyDescent="0.35">
      <c r="B81" s="24" t="s">
        <v>137</v>
      </c>
      <c r="C81" s="23"/>
      <c r="D81" s="22" t="s">
        <v>133</v>
      </c>
      <c r="E81" s="35">
        <f>0.85+(E80-1)*0.175</f>
        <v>0.67500000000000004</v>
      </c>
    </row>
    <row r="82" spans="2:5" ht="6" customHeight="1" x14ac:dyDescent="0.35"/>
    <row r="83" spans="2:5" ht="21.75" customHeight="1" x14ac:dyDescent="0.35">
      <c r="B83" s="66" t="s">
        <v>138</v>
      </c>
      <c r="C83" s="66"/>
      <c r="D83" s="66"/>
      <c r="E83" s="66"/>
    </row>
    <row r="84" spans="2:5" ht="18" customHeight="1" x14ac:dyDescent="0.35">
      <c r="B84" s="21" t="s">
        <v>139</v>
      </c>
      <c r="C84" s="15">
        <v>0</v>
      </c>
      <c r="D84" s="22" t="s">
        <v>66</v>
      </c>
      <c r="E84" s="23"/>
    </row>
    <row r="85" spans="2:5" ht="18" customHeight="1" x14ac:dyDescent="0.35">
      <c r="B85" s="21" t="s">
        <v>140</v>
      </c>
      <c r="C85" s="15">
        <v>0</v>
      </c>
      <c r="D85" s="22" t="s">
        <v>66</v>
      </c>
      <c r="E85" s="23"/>
    </row>
    <row r="86" spans="2:5" ht="18" customHeight="1" x14ac:dyDescent="0.35">
      <c r="B86" s="21" t="s">
        <v>141</v>
      </c>
      <c r="C86" s="15">
        <v>0</v>
      </c>
      <c r="D86" s="22" t="s">
        <v>66</v>
      </c>
      <c r="E86" s="23"/>
    </row>
    <row r="87" spans="2:5" ht="18" customHeight="1" x14ac:dyDescent="0.35">
      <c r="B87" s="21" t="s">
        <v>142</v>
      </c>
      <c r="C87" s="30">
        <v>0</v>
      </c>
      <c r="D87" s="22" t="s">
        <v>66</v>
      </c>
      <c r="E87" s="23"/>
    </row>
    <row r="88" spans="2:5" ht="18" customHeight="1" x14ac:dyDescent="0.35">
      <c r="B88" s="24" t="s">
        <v>143</v>
      </c>
      <c r="C88" s="23"/>
      <c r="D88" s="22" t="s">
        <v>66</v>
      </c>
      <c r="E88" s="25">
        <f>IFERROR(AVERAGEIF(C84:C86,"&gt;0"),0)</f>
        <v>0</v>
      </c>
    </row>
    <row r="89" spans="2:5" ht="6" customHeight="1" x14ac:dyDescent="0.35"/>
    <row r="90" spans="2:5" ht="21.75" customHeight="1" x14ac:dyDescent="0.35">
      <c r="B90" s="66" t="s">
        <v>144</v>
      </c>
      <c r="C90" s="66"/>
      <c r="D90" s="66"/>
      <c r="E90" s="66"/>
    </row>
    <row r="91" spans="2:5" ht="18" customHeight="1" x14ac:dyDescent="0.35">
      <c r="B91" s="21" t="s">
        <v>145</v>
      </c>
      <c r="C91" s="12">
        <v>3</v>
      </c>
      <c r="D91" s="22" t="s">
        <v>124</v>
      </c>
      <c r="E91" s="23"/>
    </row>
    <row r="92" spans="2:5" ht="18" customHeight="1" x14ac:dyDescent="0.35">
      <c r="B92" s="21" t="s">
        <v>146</v>
      </c>
      <c r="C92" s="12">
        <v>3</v>
      </c>
      <c r="D92" s="22" t="s">
        <v>124</v>
      </c>
      <c r="E92" s="23"/>
    </row>
    <row r="93" spans="2:5" ht="18" customHeight="1" x14ac:dyDescent="0.35">
      <c r="B93" s="21" t="s">
        <v>147</v>
      </c>
      <c r="C93" s="12">
        <v>3</v>
      </c>
      <c r="D93" s="22" t="s">
        <v>124</v>
      </c>
      <c r="E93" s="23"/>
    </row>
    <row r="94" spans="2:5" ht="18" customHeight="1" x14ac:dyDescent="0.35">
      <c r="B94" s="21" t="s">
        <v>148</v>
      </c>
      <c r="C94" s="12">
        <v>3</v>
      </c>
      <c r="D94" s="22" t="s">
        <v>124</v>
      </c>
      <c r="E94" s="23"/>
    </row>
    <row r="95" spans="2:5" ht="18" customHeight="1" x14ac:dyDescent="0.35">
      <c r="B95" s="24" t="s">
        <v>149</v>
      </c>
      <c r="C95" s="23"/>
      <c r="D95" s="22" t="s">
        <v>131</v>
      </c>
      <c r="E95" s="31">
        <f>AVERAGE(C91:C94)</f>
        <v>3</v>
      </c>
    </row>
    <row r="96" spans="2:5" ht="18" customHeight="1" x14ac:dyDescent="0.35">
      <c r="B96" s="24" t="s">
        <v>150</v>
      </c>
      <c r="C96" s="23"/>
      <c r="D96" s="22" t="s">
        <v>42</v>
      </c>
      <c r="E96" s="37">
        <f>(E95-1)*0.05</f>
        <v>0.1</v>
      </c>
    </row>
    <row r="97" spans="2:5" ht="6" customHeight="1" x14ac:dyDescent="0.35"/>
    <row r="98" spans="2:5" ht="21.75" customHeight="1" x14ac:dyDescent="0.35">
      <c r="B98" s="66" t="s">
        <v>151</v>
      </c>
      <c r="C98" s="66"/>
      <c r="D98" s="66"/>
      <c r="E98" s="66"/>
    </row>
    <row r="99" spans="2:5" ht="18" customHeight="1" x14ac:dyDescent="0.35">
      <c r="B99" s="21" t="s">
        <v>152</v>
      </c>
      <c r="C99" s="36">
        <v>3</v>
      </c>
      <c r="D99" s="22" t="s">
        <v>124</v>
      </c>
      <c r="E99" s="23"/>
    </row>
    <row r="100" spans="2:5" ht="18" customHeight="1" x14ac:dyDescent="0.35">
      <c r="B100" s="21" t="s">
        <v>153</v>
      </c>
      <c r="C100" s="15">
        <v>1</v>
      </c>
      <c r="D100" s="22" t="s">
        <v>154</v>
      </c>
      <c r="E100" s="23"/>
    </row>
    <row r="101" spans="2:5" ht="6" customHeight="1" x14ac:dyDescent="0.35"/>
    <row r="102" spans="2:5" ht="21.75" customHeight="1" x14ac:dyDescent="0.35">
      <c r="B102" s="66" t="s">
        <v>155</v>
      </c>
      <c r="C102" s="66"/>
      <c r="D102" s="66"/>
      <c r="E102" s="66"/>
    </row>
    <row r="103" spans="2:5" ht="18" customHeight="1" x14ac:dyDescent="0.35">
      <c r="B103" s="24" t="s">
        <v>156</v>
      </c>
      <c r="C103" s="23"/>
      <c r="D103" s="22" t="s">
        <v>66</v>
      </c>
      <c r="E103" s="35">
        <f>E66</f>
        <v>769.23076923076917</v>
      </c>
    </row>
    <row r="104" spans="2:5" ht="18" customHeight="1" x14ac:dyDescent="0.35">
      <c r="B104" s="24" t="s">
        <v>157</v>
      </c>
      <c r="C104" s="23"/>
      <c r="D104" s="22" t="s">
        <v>66</v>
      </c>
      <c r="E104" s="35">
        <f>E103*E77</f>
        <v>961.53846153846143</v>
      </c>
    </row>
    <row r="105" spans="2:5" ht="18" customHeight="1" x14ac:dyDescent="0.35">
      <c r="B105" s="24" t="s">
        <v>158</v>
      </c>
      <c r="C105" s="23"/>
      <c r="D105" s="22" t="s">
        <v>66</v>
      </c>
      <c r="E105" s="35">
        <f>E104*E81</f>
        <v>649.03846153846155</v>
      </c>
    </row>
    <row r="106" spans="2:5" ht="18" customHeight="1" x14ac:dyDescent="0.35">
      <c r="B106" s="24" t="s">
        <v>159</v>
      </c>
      <c r="C106" s="23"/>
      <c r="D106" s="22" t="s">
        <v>66</v>
      </c>
      <c r="E106" s="35">
        <f>E105*E96</f>
        <v>64.90384615384616</v>
      </c>
    </row>
    <row r="107" spans="2:5" ht="18" customHeight="1" x14ac:dyDescent="0.35">
      <c r="B107" s="24" t="s">
        <v>160</v>
      </c>
      <c r="C107" s="23"/>
      <c r="D107" s="22" t="s">
        <v>66</v>
      </c>
      <c r="E107" s="35">
        <f>E105+E106</f>
        <v>713.94230769230774</v>
      </c>
    </row>
    <row r="108" spans="2:5" ht="18" customHeight="1" x14ac:dyDescent="0.35">
      <c r="B108" s="21" t="s">
        <v>161</v>
      </c>
      <c r="C108" s="23"/>
      <c r="D108" s="22" t="s">
        <v>42</v>
      </c>
      <c r="E108" s="38">
        <f>'🏠 Portada'!C10/100</f>
        <v>0.21</v>
      </c>
    </row>
    <row r="109" spans="2:5" ht="18" customHeight="1" x14ac:dyDescent="0.35">
      <c r="B109" s="21" t="s">
        <v>162</v>
      </c>
      <c r="C109" s="23"/>
      <c r="D109" s="22" t="s">
        <v>66</v>
      </c>
      <c r="E109" s="28">
        <f>E107*E108</f>
        <v>149.92788461538461</v>
      </c>
    </row>
    <row r="110" spans="2:5" ht="25.5" customHeight="1" x14ac:dyDescent="0.35">
      <c r="B110" s="67" t="s">
        <v>163</v>
      </c>
      <c r="C110" s="67"/>
      <c r="D110" s="67"/>
      <c r="E110" s="39">
        <f>E107+E109</f>
        <v>863.87019230769238</v>
      </c>
    </row>
    <row r="111" spans="2:5" ht="6" customHeight="1" x14ac:dyDescent="0.35"/>
    <row r="112" spans="2:5" ht="18" customHeight="1" x14ac:dyDescent="0.35">
      <c r="B112" s="21" t="s">
        <v>164</v>
      </c>
      <c r="C112" s="23"/>
      <c r="D112" s="22" t="s">
        <v>66</v>
      </c>
      <c r="E112" s="28">
        <f>IF(C100&gt;1,E110/C100,E110)</f>
        <v>863.87019230769238</v>
      </c>
    </row>
    <row r="113" spans="2:5" ht="18" customHeight="1" x14ac:dyDescent="0.35">
      <c r="B113" s="21" t="s">
        <v>165</v>
      </c>
      <c r="C113" s="23"/>
      <c r="D113" s="22" t="s">
        <v>66</v>
      </c>
      <c r="E113" s="28">
        <f>IF((1-C62-C64)=0,0,E59/(1-C62-C64)*(1+E108))</f>
        <v>756.25</v>
      </c>
    </row>
    <row r="114" spans="2:5" ht="6" customHeight="1" x14ac:dyDescent="0.35"/>
    <row r="115" spans="2:5" ht="19.5" customHeight="1" x14ac:dyDescent="0.35">
      <c r="B115" s="58" t="s">
        <v>166</v>
      </c>
      <c r="C115" s="58"/>
      <c r="D115" s="58"/>
      <c r="E115" s="58"/>
    </row>
    <row r="116" spans="2:5" ht="18" customHeight="1" x14ac:dyDescent="0.35">
      <c r="B116" s="24" t="s">
        <v>167</v>
      </c>
      <c r="C116" s="23"/>
      <c r="D116" s="22" t="s">
        <v>42</v>
      </c>
      <c r="E116" s="40">
        <f>IF(E110=0,0,(E110-E59*(1+E108))/E110)</f>
        <v>0.29966329966329974</v>
      </c>
    </row>
    <row r="117" spans="2:5" ht="18" customHeight="1" x14ac:dyDescent="0.35">
      <c r="B117" s="24" t="s">
        <v>168</v>
      </c>
      <c r="C117" s="23"/>
      <c r="D117" s="22" t="s">
        <v>66</v>
      </c>
      <c r="E117" s="41">
        <f>E107-E59</f>
        <v>213.94230769230774</v>
      </c>
    </row>
    <row r="118" spans="2:5" ht="18" customHeight="1" x14ac:dyDescent="0.35">
      <c r="B118" s="21" t="s">
        <v>169</v>
      </c>
      <c r="C118" s="23"/>
      <c r="D118" s="22" t="s">
        <v>66</v>
      </c>
      <c r="E118" s="42">
        <f>E110-IF((1-C62-C64)=0,0,E59/(1-C62-C64)*(1+E108))</f>
        <v>107.62019230769238</v>
      </c>
    </row>
    <row r="119" spans="2:5" ht="18" customHeight="1" x14ac:dyDescent="0.35">
      <c r="B119" s="21" t="s">
        <v>170</v>
      </c>
      <c r="C119" s="23"/>
      <c r="D119" s="22" t="s">
        <v>66</v>
      </c>
      <c r="E119" s="42">
        <f>IF(E88=0,0,E110-E88)</f>
        <v>0</v>
      </c>
    </row>
    <row r="120" spans="2:5" ht="9.75" customHeight="1" x14ac:dyDescent="0.35"/>
    <row r="121" spans="2:5" ht="24" customHeight="1" x14ac:dyDescent="0.35">
      <c r="B121" s="65" t="s">
        <v>171</v>
      </c>
      <c r="C121" s="65"/>
      <c r="D121" s="65"/>
      <c r="E121" s="65"/>
    </row>
  </sheetData>
  <mergeCells count="21">
    <mergeCell ref="B1:E2"/>
    <mergeCell ref="B4:E4"/>
    <mergeCell ref="B5:E5"/>
    <mergeCell ref="B9:E9"/>
    <mergeCell ref="B25:C25"/>
    <mergeCell ref="B26:E26"/>
    <mergeCell ref="B32:C32"/>
    <mergeCell ref="B34:E34"/>
    <mergeCell ref="B49:E49"/>
    <mergeCell ref="B59:C59"/>
    <mergeCell ref="B61:E61"/>
    <mergeCell ref="B68:E68"/>
    <mergeCell ref="B69:E69"/>
    <mergeCell ref="B79:E79"/>
    <mergeCell ref="B83:E83"/>
    <mergeCell ref="B121:E121"/>
    <mergeCell ref="B90:E90"/>
    <mergeCell ref="B98:E98"/>
    <mergeCell ref="B102:E102"/>
    <mergeCell ref="B110:D110"/>
    <mergeCell ref="B115:E1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22"/>
  <sheetViews>
    <sheetView showGridLines="0" zoomScaleNormal="100" workbookViewId="0">
      <selection activeCell="C66" sqref="C66"/>
    </sheetView>
  </sheetViews>
  <sheetFormatPr defaultColWidth="8.6328125" defaultRowHeight="14.5" x14ac:dyDescent="0.35"/>
  <cols>
    <col min="1" max="1" width="2" customWidth="1"/>
    <col min="2" max="2" width="57.54296875" bestFit="1" customWidth="1"/>
    <col min="3" max="3" width="18" customWidth="1"/>
    <col min="4" max="4" width="12" customWidth="1"/>
    <col min="5" max="5" width="14" customWidth="1"/>
    <col min="6" max="6" width="2" customWidth="1"/>
  </cols>
  <sheetData>
    <row r="1" spans="2:5" ht="19.5" customHeight="1" x14ac:dyDescent="0.35">
      <c r="B1" s="55" t="s">
        <v>175</v>
      </c>
      <c r="C1" s="55"/>
      <c r="D1" s="55"/>
      <c r="E1" s="55"/>
    </row>
    <row r="2" spans="2:5" ht="19.5" customHeight="1" x14ac:dyDescent="0.35">
      <c r="B2" s="55"/>
      <c r="C2" s="55"/>
      <c r="D2" s="55"/>
      <c r="E2" s="55"/>
    </row>
    <row r="3" spans="2:5" ht="7.5" customHeight="1" x14ac:dyDescent="0.35"/>
    <row r="4" spans="2:5" ht="21.75" customHeight="1" x14ac:dyDescent="0.35">
      <c r="B4" s="66" t="s">
        <v>59</v>
      </c>
      <c r="C4" s="66"/>
      <c r="D4" s="66"/>
      <c r="E4" s="66"/>
    </row>
    <row r="5" spans="2:5" ht="18" customHeight="1" x14ac:dyDescent="0.35">
      <c r="B5" s="69" t="s">
        <v>60</v>
      </c>
      <c r="C5" s="69"/>
      <c r="D5" s="69"/>
      <c r="E5" s="69"/>
    </row>
    <row r="6" spans="2:5" ht="18" customHeight="1" x14ac:dyDescent="0.35">
      <c r="B6" s="21" t="s">
        <v>61</v>
      </c>
      <c r="C6" s="15">
        <v>10</v>
      </c>
      <c r="D6" s="22" t="s">
        <v>62</v>
      </c>
      <c r="E6" s="23"/>
    </row>
    <row r="7" spans="2:5" ht="18" customHeight="1" x14ac:dyDescent="0.35">
      <c r="B7" s="21" t="s">
        <v>63</v>
      </c>
      <c r="C7" s="15">
        <v>50</v>
      </c>
      <c r="D7" s="22" t="s">
        <v>64</v>
      </c>
      <c r="E7" s="23"/>
    </row>
    <row r="8" spans="2:5" ht="18" customHeight="1" x14ac:dyDescent="0.35">
      <c r="B8" s="24" t="s">
        <v>65</v>
      </c>
      <c r="C8" s="23"/>
      <c r="D8" s="22" t="s">
        <v>66</v>
      </c>
      <c r="E8" s="25">
        <f>C6*C7</f>
        <v>500</v>
      </c>
    </row>
    <row r="9" spans="2:5" ht="18" customHeight="1" x14ac:dyDescent="0.35">
      <c r="B9" s="69" t="s">
        <v>67</v>
      </c>
      <c r="C9" s="69"/>
      <c r="D9" s="69"/>
      <c r="E9" s="69"/>
    </row>
    <row r="10" spans="2:5" ht="18" customHeight="1" x14ac:dyDescent="0.35">
      <c r="B10" s="26" t="s">
        <v>68</v>
      </c>
      <c r="C10" s="15">
        <v>0</v>
      </c>
      <c r="D10" s="22" t="s">
        <v>62</v>
      </c>
      <c r="E10" s="23"/>
    </row>
    <row r="11" spans="2:5" ht="18" customHeight="1" x14ac:dyDescent="0.35">
      <c r="B11" s="26" t="s">
        <v>69</v>
      </c>
      <c r="C11" s="15">
        <v>0</v>
      </c>
      <c r="D11" s="22" t="s">
        <v>64</v>
      </c>
      <c r="E11" s="23"/>
    </row>
    <row r="12" spans="2:5" ht="15.75" customHeight="1" x14ac:dyDescent="0.35">
      <c r="B12" s="27" t="s">
        <v>70</v>
      </c>
      <c r="C12" s="23"/>
      <c r="D12" s="23"/>
      <c r="E12" s="28">
        <f>C10*C11</f>
        <v>0</v>
      </c>
    </row>
    <row r="13" spans="2:5" ht="18" customHeight="1" x14ac:dyDescent="0.35">
      <c r="B13" s="26" t="s">
        <v>71</v>
      </c>
      <c r="C13" s="15">
        <v>0</v>
      </c>
      <c r="D13" s="22" t="s">
        <v>62</v>
      </c>
      <c r="E13" s="23"/>
    </row>
    <row r="14" spans="2:5" ht="18" customHeight="1" x14ac:dyDescent="0.35">
      <c r="B14" s="26" t="s">
        <v>72</v>
      </c>
      <c r="C14" s="15">
        <v>0</v>
      </c>
      <c r="D14" s="22" t="s">
        <v>64</v>
      </c>
      <c r="E14" s="23"/>
    </row>
    <row r="15" spans="2:5" ht="15.75" customHeight="1" x14ac:dyDescent="0.35">
      <c r="B15" s="27" t="s">
        <v>73</v>
      </c>
      <c r="C15" s="23"/>
      <c r="D15" s="23"/>
      <c r="E15" s="28">
        <f>C13*C14</f>
        <v>0</v>
      </c>
    </row>
    <row r="16" spans="2:5" ht="18" customHeight="1" x14ac:dyDescent="0.35">
      <c r="B16" s="26" t="s">
        <v>74</v>
      </c>
      <c r="C16" s="15">
        <v>0</v>
      </c>
      <c r="D16" s="22" t="s">
        <v>62</v>
      </c>
      <c r="E16" s="23"/>
    </row>
    <row r="17" spans="2:5" ht="18" customHeight="1" x14ac:dyDescent="0.35">
      <c r="B17" s="26" t="s">
        <v>75</v>
      </c>
      <c r="C17" s="15">
        <v>0</v>
      </c>
      <c r="D17" s="22" t="s">
        <v>64</v>
      </c>
      <c r="E17" s="23"/>
    </row>
    <row r="18" spans="2:5" ht="15.75" customHeight="1" x14ac:dyDescent="0.35">
      <c r="B18" s="27" t="s">
        <v>76</v>
      </c>
      <c r="C18" s="23"/>
      <c r="D18" s="23"/>
      <c r="E18" s="28">
        <f>C16*C17</f>
        <v>0</v>
      </c>
    </row>
    <row r="19" spans="2:5" ht="18" customHeight="1" x14ac:dyDescent="0.35">
      <c r="B19" s="26" t="s">
        <v>77</v>
      </c>
      <c r="C19" s="15">
        <v>0</v>
      </c>
      <c r="D19" s="22" t="s">
        <v>62</v>
      </c>
      <c r="E19" s="23"/>
    </row>
    <row r="20" spans="2:5" ht="18" customHeight="1" x14ac:dyDescent="0.35">
      <c r="B20" s="26" t="s">
        <v>78</v>
      </c>
      <c r="C20" s="15">
        <v>0</v>
      </c>
      <c r="D20" s="22" t="s">
        <v>64</v>
      </c>
      <c r="E20" s="23"/>
    </row>
    <row r="21" spans="2:5" ht="15.75" customHeight="1" x14ac:dyDescent="0.35">
      <c r="B21" s="27" t="s">
        <v>79</v>
      </c>
      <c r="C21" s="23"/>
      <c r="D21" s="23"/>
      <c r="E21" s="28">
        <f>C19*C20</f>
        <v>0</v>
      </c>
    </row>
    <row r="22" spans="2:5" ht="18" customHeight="1" x14ac:dyDescent="0.35">
      <c r="B22" s="26" t="s">
        <v>80</v>
      </c>
      <c r="C22" s="15">
        <v>0</v>
      </c>
      <c r="D22" s="22" t="s">
        <v>62</v>
      </c>
      <c r="E22" s="23"/>
    </row>
    <row r="23" spans="2:5" ht="18" customHeight="1" x14ac:dyDescent="0.35">
      <c r="B23" s="26" t="s">
        <v>81</v>
      </c>
      <c r="C23" s="15">
        <v>0</v>
      </c>
      <c r="D23" s="22" t="s">
        <v>64</v>
      </c>
      <c r="E23" s="23"/>
    </row>
    <row r="24" spans="2:5" ht="15.75" customHeight="1" x14ac:dyDescent="0.35">
      <c r="B24" s="27" t="s">
        <v>82</v>
      </c>
      <c r="C24" s="23"/>
      <c r="D24" s="23"/>
      <c r="E24" s="28">
        <f>C22*C23</f>
        <v>0</v>
      </c>
    </row>
    <row r="25" spans="2:5" ht="19.5" customHeight="1" x14ac:dyDescent="0.35">
      <c r="B25" s="71" t="s">
        <v>83</v>
      </c>
      <c r="C25" s="71"/>
      <c r="D25" s="22" t="s">
        <v>66</v>
      </c>
      <c r="E25" s="25">
        <f>E12+E15+E18+E21+E24</f>
        <v>0</v>
      </c>
    </row>
    <row r="26" spans="2:5" ht="18" customHeight="1" x14ac:dyDescent="0.35">
      <c r="B26" s="69" t="s">
        <v>84</v>
      </c>
      <c r="C26" s="69"/>
      <c r="D26" s="69"/>
      <c r="E26" s="69"/>
    </row>
    <row r="27" spans="2:5" ht="18" customHeight="1" x14ac:dyDescent="0.35">
      <c r="B27" s="21" t="s">
        <v>85</v>
      </c>
      <c r="C27" s="15">
        <v>0</v>
      </c>
      <c r="D27" s="22" t="s">
        <v>66</v>
      </c>
      <c r="E27" s="23"/>
    </row>
    <row r="28" spans="2:5" ht="18" customHeight="1" x14ac:dyDescent="0.35">
      <c r="B28" s="21" t="s">
        <v>86</v>
      </c>
      <c r="C28" s="15">
        <v>0</v>
      </c>
      <c r="D28" s="22" t="s">
        <v>66</v>
      </c>
      <c r="E28" s="23"/>
    </row>
    <row r="29" spans="2:5" ht="18" customHeight="1" x14ac:dyDescent="0.35">
      <c r="B29" s="21" t="s">
        <v>87</v>
      </c>
      <c r="C29" s="15">
        <v>0</v>
      </c>
      <c r="D29" s="22" t="s">
        <v>66</v>
      </c>
      <c r="E29" s="23"/>
    </row>
    <row r="30" spans="2:5" ht="18" customHeight="1" x14ac:dyDescent="0.35">
      <c r="B30" s="21" t="s">
        <v>176</v>
      </c>
      <c r="C30" s="15">
        <v>0</v>
      </c>
      <c r="D30" s="22" t="s">
        <v>66</v>
      </c>
      <c r="E30" s="23"/>
    </row>
    <row r="31" spans="2:5" ht="18" customHeight="1" x14ac:dyDescent="0.35">
      <c r="B31" s="21" t="s">
        <v>177</v>
      </c>
      <c r="C31" s="15">
        <v>0</v>
      </c>
      <c r="D31" s="22" t="s">
        <v>66</v>
      </c>
      <c r="E31" s="23"/>
    </row>
    <row r="32" spans="2:5" ht="18" customHeight="1" x14ac:dyDescent="0.35">
      <c r="B32" s="21" t="s">
        <v>178</v>
      </c>
      <c r="C32" s="15">
        <v>0</v>
      </c>
      <c r="D32" s="22" t="s">
        <v>66</v>
      </c>
      <c r="E32" s="23"/>
    </row>
    <row r="33" spans="2:5" ht="19.5" customHeight="1" x14ac:dyDescent="0.35">
      <c r="B33" s="70" t="s">
        <v>90</v>
      </c>
      <c r="C33" s="70"/>
      <c r="D33" s="22" t="s">
        <v>66</v>
      </c>
      <c r="E33" s="29">
        <f>E8+E25+E27+E28+E29+E30+E31+E32</f>
        <v>500</v>
      </c>
    </row>
    <row r="34" spans="2:5" ht="6" customHeight="1" x14ac:dyDescent="0.35"/>
    <row r="35" spans="2:5" ht="21.75" customHeight="1" x14ac:dyDescent="0.35">
      <c r="B35" s="66" t="s">
        <v>91</v>
      </c>
      <c r="C35" s="66"/>
      <c r="D35" s="66"/>
      <c r="E35" s="66"/>
    </row>
    <row r="36" spans="2:5" ht="19.5" customHeight="1" x14ac:dyDescent="0.35">
      <c r="B36" s="24" t="s">
        <v>92</v>
      </c>
      <c r="C36" s="23"/>
      <c r="D36" s="22" t="s">
        <v>44</v>
      </c>
      <c r="E36" s="20">
        <f>'👥 Equipo'!G17</f>
        <v>0</v>
      </c>
    </row>
    <row r="37" spans="2:5" ht="18" customHeight="1" x14ac:dyDescent="0.35">
      <c r="B37" s="21" t="s">
        <v>93</v>
      </c>
      <c r="C37" s="15">
        <v>0</v>
      </c>
      <c r="D37" s="22" t="s">
        <v>44</v>
      </c>
      <c r="E37" s="23"/>
    </row>
    <row r="38" spans="2:5" ht="18" customHeight="1" x14ac:dyDescent="0.35">
      <c r="B38" s="21" t="s">
        <v>94</v>
      </c>
      <c r="C38" s="15">
        <v>0</v>
      </c>
      <c r="D38" s="22" t="s">
        <v>44</v>
      </c>
      <c r="E38" s="23"/>
    </row>
    <row r="39" spans="2:5" ht="18" customHeight="1" x14ac:dyDescent="0.35">
      <c r="B39" s="21" t="s">
        <v>95</v>
      </c>
      <c r="C39" s="15">
        <v>0</v>
      </c>
      <c r="D39" s="22" t="s">
        <v>44</v>
      </c>
      <c r="E39" s="23"/>
    </row>
    <row r="40" spans="2:5" ht="18" customHeight="1" x14ac:dyDescent="0.35">
      <c r="B40" s="21" t="s">
        <v>96</v>
      </c>
      <c r="C40" s="15">
        <v>0</v>
      </c>
      <c r="D40" s="22" t="s">
        <v>44</v>
      </c>
      <c r="E40" s="23"/>
    </row>
    <row r="41" spans="2:5" ht="18" customHeight="1" x14ac:dyDescent="0.35">
      <c r="B41" s="21" t="s">
        <v>97</v>
      </c>
      <c r="C41" s="15">
        <v>0</v>
      </c>
      <c r="D41" s="22" t="s">
        <v>44</v>
      </c>
      <c r="E41" s="23"/>
    </row>
    <row r="42" spans="2:5" ht="18" customHeight="1" x14ac:dyDescent="0.35">
      <c r="B42" s="21" t="s">
        <v>98</v>
      </c>
      <c r="C42" s="15">
        <v>0</v>
      </c>
      <c r="D42" s="22" t="s">
        <v>44</v>
      </c>
      <c r="E42" s="23"/>
    </row>
    <row r="43" spans="2:5" ht="18" customHeight="1" x14ac:dyDescent="0.35">
      <c r="B43" s="21" t="s">
        <v>99</v>
      </c>
      <c r="C43" s="15">
        <v>0</v>
      </c>
      <c r="D43" s="22" t="s">
        <v>44</v>
      </c>
      <c r="E43" s="23"/>
    </row>
    <row r="44" spans="2:5" ht="18" customHeight="1" x14ac:dyDescent="0.35">
      <c r="B44" s="21" t="s">
        <v>100</v>
      </c>
      <c r="C44" s="23"/>
      <c r="D44" s="22" t="s">
        <v>66</v>
      </c>
      <c r="E44" s="28">
        <f>SUM(C37:C43)</f>
        <v>0</v>
      </c>
    </row>
    <row r="45" spans="2:5" ht="18" customHeight="1" x14ac:dyDescent="0.35">
      <c r="B45" s="24" t="s">
        <v>101</v>
      </c>
      <c r="C45" s="23"/>
      <c r="D45" s="22" t="s">
        <v>66</v>
      </c>
      <c r="E45" s="25">
        <f>E44+E36</f>
        <v>0</v>
      </c>
    </row>
    <row r="46" spans="2:5" ht="19.5" customHeight="1" x14ac:dyDescent="0.35">
      <c r="B46" s="24" t="s">
        <v>102</v>
      </c>
      <c r="C46" s="23"/>
      <c r="D46" s="22" t="s">
        <v>41</v>
      </c>
      <c r="E46" s="18">
        <f>'👥 Equipo'!F17</f>
        <v>960</v>
      </c>
    </row>
    <row r="47" spans="2:5" ht="18" customHeight="1" x14ac:dyDescent="0.35">
      <c r="B47" s="21" t="s">
        <v>103</v>
      </c>
      <c r="C47" s="30">
        <v>10</v>
      </c>
      <c r="D47" s="22" t="s">
        <v>62</v>
      </c>
      <c r="E47" s="23"/>
    </row>
    <row r="48" spans="2:5" ht="18" customHeight="1" x14ac:dyDescent="0.35">
      <c r="B48" s="24" t="s">
        <v>104</v>
      </c>
      <c r="C48" s="23"/>
      <c r="D48" s="22" t="s">
        <v>66</v>
      </c>
      <c r="E48" s="25">
        <f>IF(E46=0,0,E45/E46*C47)</f>
        <v>0</v>
      </c>
    </row>
    <row r="49" spans="2:5" ht="6" customHeight="1" x14ac:dyDescent="0.35"/>
    <row r="50" spans="2:5" ht="21.75" customHeight="1" x14ac:dyDescent="0.35">
      <c r="B50" s="66" t="s">
        <v>105</v>
      </c>
      <c r="C50" s="66"/>
      <c r="D50" s="66"/>
      <c r="E50" s="66"/>
    </row>
    <row r="51" spans="2:5" ht="18" customHeight="1" x14ac:dyDescent="0.35">
      <c r="B51" s="21" t="s">
        <v>106</v>
      </c>
      <c r="C51" s="15">
        <v>0</v>
      </c>
      <c r="D51" s="22" t="s">
        <v>62</v>
      </c>
      <c r="E51" s="23"/>
    </row>
    <row r="52" spans="2:5" ht="18" customHeight="1" x14ac:dyDescent="0.35">
      <c r="B52" s="21" t="s">
        <v>107</v>
      </c>
      <c r="C52" s="15">
        <v>0</v>
      </c>
      <c r="D52" s="22" t="s">
        <v>62</v>
      </c>
      <c r="E52" s="23"/>
    </row>
    <row r="53" spans="2:5" ht="18" customHeight="1" x14ac:dyDescent="0.35">
      <c r="B53" s="21" t="s">
        <v>108</v>
      </c>
      <c r="C53" s="15">
        <v>0</v>
      </c>
      <c r="D53" s="22" t="s">
        <v>62</v>
      </c>
      <c r="E53" s="23"/>
    </row>
    <row r="54" spans="2:5" ht="18" customHeight="1" x14ac:dyDescent="0.35">
      <c r="B54" s="21" t="s">
        <v>109</v>
      </c>
      <c r="C54" s="15">
        <v>0</v>
      </c>
      <c r="D54" s="22" t="s">
        <v>62</v>
      </c>
      <c r="E54" s="23"/>
    </row>
    <row r="55" spans="2:5" ht="18" customHeight="1" x14ac:dyDescent="0.35">
      <c r="B55" s="21" t="s">
        <v>110</v>
      </c>
      <c r="C55" s="15">
        <v>0</v>
      </c>
      <c r="D55" s="22" t="s">
        <v>62</v>
      </c>
      <c r="E55" s="23"/>
    </row>
    <row r="56" spans="2:5" ht="18" customHeight="1" x14ac:dyDescent="0.35">
      <c r="B56" s="21" t="s">
        <v>111</v>
      </c>
      <c r="C56" s="15">
        <v>0</v>
      </c>
      <c r="D56" s="22" t="s">
        <v>62</v>
      </c>
      <c r="E56" s="23"/>
    </row>
    <row r="57" spans="2:5" ht="18" customHeight="1" x14ac:dyDescent="0.35">
      <c r="B57" s="24" t="s">
        <v>112</v>
      </c>
      <c r="C57" s="23"/>
      <c r="D57" s="22" t="s">
        <v>62</v>
      </c>
      <c r="E57" s="31">
        <f>SUM(C51:C56)</f>
        <v>0</v>
      </c>
    </row>
    <row r="58" spans="2:5" ht="18" customHeight="1" x14ac:dyDescent="0.35">
      <c r="B58" s="24" t="s">
        <v>113</v>
      </c>
      <c r="C58" s="23"/>
      <c r="D58" s="22" t="s">
        <v>66</v>
      </c>
      <c r="E58" s="25">
        <f>E57*C7</f>
        <v>0</v>
      </c>
    </row>
    <row r="59" spans="2:5" ht="6" customHeight="1" x14ac:dyDescent="0.35"/>
    <row r="60" spans="2:5" ht="19.5" customHeight="1" x14ac:dyDescent="0.35">
      <c r="B60" s="70" t="s">
        <v>114</v>
      </c>
      <c r="C60" s="70"/>
      <c r="D60" s="22" t="s">
        <v>66</v>
      </c>
      <c r="E60" s="29">
        <f>E33+E48+E58</f>
        <v>500</v>
      </c>
    </row>
    <row r="61" spans="2:5" ht="6" customHeight="1" x14ac:dyDescent="0.35"/>
    <row r="62" spans="2:5" ht="21.75" customHeight="1" x14ac:dyDescent="0.35">
      <c r="B62" s="66" t="s">
        <v>115</v>
      </c>
      <c r="C62" s="66"/>
      <c r="D62" s="66"/>
      <c r="E62" s="66"/>
    </row>
    <row r="63" spans="2:5" ht="18" customHeight="1" x14ac:dyDescent="0.35">
      <c r="B63" s="21" t="s">
        <v>116</v>
      </c>
      <c r="C63" s="32">
        <v>0.15</v>
      </c>
      <c r="D63" s="22" t="s">
        <v>42</v>
      </c>
      <c r="E63" s="23"/>
    </row>
    <row r="64" spans="2:5" ht="18" customHeight="1" x14ac:dyDescent="0.35">
      <c r="B64" s="21" t="s">
        <v>117</v>
      </c>
      <c r="C64" s="33">
        <v>0.3</v>
      </c>
      <c r="D64" s="22" t="s">
        <v>42</v>
      </c>
      <c r="E64" s="23"/>
    </row>
    <row r="65" spans="2:5" ht="18" customHeight="1" x14ac:dyDescent="0.35">
      <c r="B65" s="21" t="s">
        <v>118</v>
      </c>
      <c r="C65" s="32">
        <v>0.05</v>
      </c>
      <c r="D65" s="22" t="s">
        <v>42</v>
      </c>
      <c r="E65" s="23"/>
    </row>
    <row r="66" spans="2:5" ht="18" customHeight="1" x14ac:dyDescent="0.35">
      <c r="B66" s="24" t="s">
        <v>119</v>
      </c>
      <c r="C66" s="23"/>
      <c r="D66" s="22" t="s">
        <v>42</v>
      </c>
      <c r="E66" s="34">
        <f>C64+C65</f>
        <v>0.35</v>
      </c>
    </row>
    <row r="67" spans="2:5" ht="18" customHeight="1" x14ac:dyDescent="0.35">
      <c r="B67" s="24" t="s">
        <v>120</v>
      </c>
      <c r="C67" s="23"/>
      <c r="D67" s="22" t="s">
        <v>66</v>
      </c>
      <c r="E67" s="35">
        <f>IF((1-E66)=0,0,E60/(1-E66))</f>
        <v>769.23076923076917</v>
      </c>
    </row>
    <row r="68" spans="2:5" ht="6" customHeight="1" x14ac:dyDescent="0.35"/>
    <row r="69" spans="2:5" ht="21.75" customHeight="1" x14ac:dyDescent="0.35">
      <c r="B69" s="66" t="s">
        <v>121</v>
      </c>
      <c r="C69" s="66"/>
      <c r="D69" s="66"/>
      <c r="E69" s="66"/>
    </row>
    <row r="70" spans="2:5" ht="25.5" customHeight="1" x14ac:dyDescent="0.35">
      <c r="B70" s="68" t="s">
        <v>122</v>
      </c>
      <c r="C70" s="68"/>
      <c r="D70" s="68"/>
      <c r="E70" s="68"/>
    </row>
    <row r="71" spans="2:5" ht="18" customHeight="1" x14ac:dyDescent="0.35">
      <c r="B71" s="21" t="s">
        <v>123</v>
      </c>
      <c r="C71" s="12">
        <v>3</v>
      </c>
      <c r="D71" s="22" t="s">
        <v>124</v>
      </c>
      <c r="E71" s="23"/>
    </row>
    <row r="72" spans="2:5" ht="18" customHeight="1" x14ac:dyDescent="0.35">
      <c r="B72" s="21" t="s">
        <v>125</v>
      </c>
      <c r="C72" s="12">
        <v>3</v>
      </c>
      <c r="D72" s="22" t="s">
        <v>124</v>
      </c>
      <c r="E72" s="23"/>
    </row>
    <row r="73" spans="2:5" ht="18" customHeight="1" x14ac:dyDescent="0.35">
      <c r="B73" s="21" t="s">
        <v>126</v>
      </c>
      <c r="C73" s="12">
        <v>3</v>
      </c>
      <c r="D73" s="22" t="s">
        <v>124</v>
      </c>
      <c r="E73" s="23"/>
    </row>
    <row r="74" spans="2:5" ht="18" customHeight="1" x14ac:dyDescent="0.35">
      <c r="B74" s="21" t="s">
        <v>127</v>
      </c>
      <c r="C74" s="12">
        <v>3</v>
      </c>
      <c r="D74" s="22" t="s">
        <v>124</v>
      </c>
      <c r="E74" s="23"/>
    </row>
    <row r="75" spans="2:5" ht="18" customHeight="1" x14ac:dyDescent="0.35">
      <c r="B75" s="21" t="s">
        <v>128</v>
      </c>
      <c r="C75" s="12">
        <v>3</v>
      </c>
      <c r="D75" s="22" t="s">
        <v>124</v>
      </c>
      <c r="E75" s="23"/>
    </row>
    <row r="76" spans="2:5" ht="18" customHeight="1" x14ac:dyDescent="0.35">
      <c r="B76" s="21" t="s">
        <v>129</v>
      </c>
      <c r="C76" s="12">
        <v>3</v>
      </c>
      <c r="D76" s="22" t="s">
        <v>124</v>
      </c>
      <c r="E76" s="23"/>
    </row>
    <row r="77" spans="2:5" ht="18" customHeight="1" x14ac:dyDescent="0.35">
      <c r="B77" s="24" t="s">
        <v>130</v>
      </c>
      <c r="C77" s="23"/>
      <c r="D77" s="22" t="s">
        <v>131</v>
      </c>
      <c r="E77" s="31">
        <f>AVERAGE(C71:C76)</f>
        <v>3</v>
      </c>
    </row>
    <row r="78" spans="2:5" ht="18" customHeight="1" x14ac:dyDescent="0.35">
      <c r="B78" s="24" t="s">
        <v>132</v>
      </c>
      <c r="C78" s="23"/>
      <c r="D78" s="22" t="s">
        <v>133</v>
      </c>
      <c r="E78" s="35">
        <f>1+(E77-1)*0.5/4</f>
        <v>1.25</v>
      </c>
    </row>
    <row r="79" spans="2:5" ht="6" customHeight="1" x14ac:dyDescent="0.35"/>
    <row r="80" spans="2:5" ht="21.75" customHeight="1" x14ac:dyDescent="0.35">
      <c r="B80" s="66" t="s">
        <v>134</v>
      </c>
      <c r="C80" s="66"/>
      <c r="D80" s="66"/>
      <c r="E80" s="66"/>
    </row>
    <row r="81" spans="2:5" ht="18" customHeight="1" x14ac:dyDescent="0.35">
      <c r="B81" s="21" t="s">
        <v>135</v>
      </c>
      <c r="C81" s="36">
        <v>2</v>
      </c>
      <c r="D81" s="22" t="s">
        <v>136</v>
      </c>
      <c r="E81" s="23"/>
    </row>
    <row r="82" spans="2:5" ht="18" customHeight="1" x14ac:dyDescent="0.35">
      <c r="B82" s="24" t="s">
        <v>137</v>
      </c>
      <c r="C82" s="23"/>
      <c r="D82" s="22" t="s">
        <v>133</v>
      </c>
      <c r="E82" s="35">
        <f>0.85+(E81-1)*0.175</f>
        <v>0.67500000000000004</v>
      </c>
    </row>
    <row r="83" spans="2:5" ht="6" customHeight="1" x14ac:dyDescent="0.35"/>
    <row r="84" spans="2:5" ht="21.75" customHeight="1" x14ac:dyDescent="0.35">
      <c r="B84" s="66" t="s">
        <v>138</v>
      </c>
      <c r="C84" s="66"/>
      <c r="D84" s="66"/>
      <c r="E84" s="66"/>
    </row>
    <row r="85" spans="2:5" ht="18" customHeight="1" x14ac:dyDescent="0.35">
      <c r="B85" s="21" t="s">
        <v>139</v>
      </c>
      <c r="C85" s="15">
        <v>0</v>
      </c>
      <c r="D85" s="22" t="s">
        <v>66</v>
      </c>
      <c r="E85" s="23"/>
    </row>
    <row r="86" spans="2:5" ht="18" customHeight="1" x14ac:dyDescent="0.35">
      <c r="B86" s="21" t="s">
        <v>140</v>
      </c>
      <c r="C86" s="15">
        <v>0</v>
      </c>
      <c r="D86" s="22" t="s">
        <v>66</v>
      </c>
      <c r="E86" s="23"/>
    </row>
    <row r="87" spans="2:5" ht="18" customHeight="1" x14ac:dyDescent="0.35">
      <c r="B87" s="21" t="s">
        <v>141</v>
      </c>
      <c r="C87" s="15">
        <v>0</v>
      </c>
      <c r="D87" s="22" t="s">
        <v>66</v>
      </c>
      <c r="E87" s="23"/>
    </row>
    <row r="88" spans="2:5" ht="18" customHeight="1" x14ac:dyDescent="0.35">
      <c r="B88" s="21" t="s">
        <v>142</v>
      </c>
      <c r="C88" s="30">
        <v>0</v>
      </c>
      <c r="D88" s="22" t="s">
        <v>66</v>
      </c>
      <c r="E88" s="23"/>
    </row>
    <row r="89" spans="2:5" ht="18" customHeight="1" x14ac:dyDescent="0.35">
      <c r="B89" s="24" t="s">
        <v>143</v>
      </c>
      <c r="C89" s="23"/>
      <c r="D89" s="22" t="s">
        <v>66</v>
      </c>
      <c r="E89" s="25">
        <f>IFERROR(AVERAGEIF(C85:C87,"&gt;0"),0)</f>
        <v>0</v>
      </c>
    </row>
    <row r="90" spans="2:5" ht="6" customHeight="1" x14ac:dyDescent="0.35"/>
    <row r="91" spans="2:5" ht="21.75" customHeight="1" x14ac:dyDescent="0.35">
      <c r="B91" s="66" t="s">
        <v>144</v>
      </c>
      <c r="C91" s="66"/>
      <c r="D91" s="66"/>
      <c r="E91" s="66"/>
    </row>
    <row r="92" spans="2:5" ht="18" customHeight="1" x14ac:dyDescent="0.35">
      <c r="B92" s="21" t="s">
        <v>145</v>
      </c>
      <c r="C92" s="12">
        <v>3</v>
      </c>
      <c r="D92" s="22" t="s">
        <v>124</v>
      </c>
      <c r="E92" s="23"/>
    </row>
    <row r="93" spans="2:5" ht="18" customHeight="1" x14ac:dyDescent="0.35">
      <c r="B93" s="21" t="s">
        <v>146</v>
      </c>
      <c r="C93" s="12">
        <v>3</v>
      </c>
      <c r="D93" s="22" t="s">
        <v>124</v>
      </c>
      <c r="E93" s="23"/>
    </row>
    <row r="94" spans="2:5" ht="18" customHeight="1" x14ac:dyDescent="0.35">
      <c r="B94" s="21" t="s">
        <v>147</v>
      </c>
      <c r="C94" s="12">
        <v>3</v>
      </c>
      <c r="D94" s="22" t="s">
        <v>124</v>
      </c>
      <c r="E94" s="23"/>
    </row>
    <row r="95" spans="2:5" ht="18" customHeight="1" x14ac:dyDescent="0.35">
      <c r="B95" s="21" t="s">
        <v>148</v>
      </c>
      <c r="C95" s="12">
        <v>3</v>
      </c>
      <c r="D95" s="22" t="s">
        <v>124</v>
      </c>
      <c r="E95" s="23"/>
    </row>
    <row r="96" spans="2:5" ht="18" customHeight="1" x14ac:dyDescent="0.35">
      <c r="B96" s="24" t="s">
        <v>149</v>
      </c>
      <c r="C96" s="23"/>
      <c r="D96" s="22" t="s">
        <v>131</v>
      </c>
      <c r="E96" s="31">
        <f>AVERAGE(C92:C95)</f>
        <v>3</v>
      </c>
    </row>
    <row r="97" spans="2:5" ht="18" customHeight="1" x14ac:dyDescent="0.35">
      <c r="B97" s="24" t="s">
        <v>150</v>
      </c>
      <c r="C97" s="23"/>
      <c r="D97" s="22" t="s">
        <v>42</v>
      </c>
      <c r="E97" s="37">
        <f>(E96-1)*0.05</f>
        <v>0.1</v>
      </c>
    </row>
    <row r="98" spans="2:5" ht="6" customHeight="1" x14ac:dyDescent="0.35"/>
    <row r="99" spans="2:5" ht="21.75" customHeight="1" x14ac:dyDescent="0.35">
      <c r="B99" s="66" t="s">
        <v>151</v>
      </c>
      <c r="C99" s="66"/>
      <c r="D99" s="66"/>
      <c r="E99" s="66"/>
    </row>
    <row r="100" spans="2:5" ht="18" customHeight="1" x14ac:dyDescent="0.35">
      <c r="B100" s="21" t="s">
        <v>152</v>
      </c>
      <c r="C100" s="36">
        <v>3</v>
      </c>
      <c r="D100" s="22" t="s">
        <v>124</v>
      </c>
      <c r="E100" s="23"/>
    </row>
    <row r="101" spans="2:5" ht="18" customHeight="1" x14ac:dyDescent="0.35">
      <c r="B101" s="21" t="s">
        <v>153</v>
      </c>
      <c r="C101" s="15">
        <v>1</v>
      </c>
      <c r="D101" s="22" t="s">
        <v>154</v>
      </c>
      <c r="E101" s="23"/>
    </row>
    <row r="102" spans="2:5" ht="6" customHeight="1" x14ac:dyDescent="0.35"/>
    <row r="103" spans="2:5" ht="21.75" customHeight="1" x14ac:dyDescent="0.35">
      <c r="B103" s="66" t="s">
        <v>155</v>
      </c>
      <c r="C103" s="66"/>
      <c r="D103" s="66"/>
      <c r="E103" s="66"/>
    </row>
    <row r="104" spans="2:5" ht="18" customHeight="1" x14ac:dyDescent="0.35">
      <c r="B104" s="24" t="s">
        <v>156</v>
      </c>
      <c r="C104" s="23"/>
      <c r="D104" s="22" t="s">
        <v>66</v>
      </c>
      <c r="E104" s="35">
        <f>E67</f>
        <v>769.23076923076917</v>
      </c>
    </row>
    <row r="105" spans="2:5" ht="18" customHeight="1" x14ac:dyDescent="0.35">
      <c r="B105" s="24" t="s">
        <v>157</v>
      </c>
      <c r="C105" s="23"/>
      <c r="D105" s="22" t="s">
        <v>66</v>
      </c>
      <c r="E105" s="35">
        <f>E104*E78</f>
        <v>961.53846153846143</v>
      </c>
    </row>
    <row r="106" spans="2:5" ht="18" customHeight="1" x14ac:dyDescent="0.35">
      <c r="B106" s="24" t="s">
        <v>158</v>
      </c>
      <c r="C106" s="23"/>
      <c r="D106" s="22" t="s">
        <v>66</v>
      </c>
      <c r="E106" s="35">
        <f>E105*E82</f>
        <v>649.03846153846155</v>
      </c>
    </row>
    <row r="107" spans="2:5" ht="18" customHeight="1" x14ac:dyDescent="0.35">
      <c r="B107" s="24" t="s">
        <v>159</v>
      </c>
      <c r="C107" s="23"/>
      <c r="D107" s="22" t="s">
        <v>66</v>
      </c>
      <c r="E107" s="35">
        <f>E106*E97</f>
        <v>64.90384615384616</v>
      </c>
    </row>
    <row r="108" spans="2:5" ht="18" customHeight="1" x14ac:dyDescent="0.35">
      <c r="B108" s="24" t="s">
        <v>160</v>
      </c>
      <c r="C108" s="23"/>
      <c r="D108" s="22" t="s">
        <v>66</v>
      </c>
      <c r="E108" s="35">
        <f>E106+E107</f>
        <v>713.94230769230774</v>
      </c>
    </row>
    <row r="109" spans="2:5" ht="18" customHeight="1" x14ac:dyDescent="0.35">
      <c r="B109" s="21" t="s">
        <v>161</v>
      </c>
      <c r="C109" s="23"/>
      <c r="D109" s="22" t="s">
        <v>42</v>
      </c>
      <c r="E109" s="38">
        <f>'🏠 Portada'!C10/100</f>
        <v>0.21</v>
      </c>
    </row>
    <row r="110" spans="2:5" ht="18" customHeight="1" x14ac:dyDescent="0.35">
      <c r="B110" s="21" t="s">
        <v>162</v>
      </c>
      <c r="C110" s="23"/>
      <c r="D110" s="22" t="s">
        <v>66</v>
      </c>
      <c r="E110" s="28">
        <f>E108*E109</f>
        <v>149.92788461538461</v>
      </c>
    </row>
    <row r="111" spans="2:5" ht="25.5" customHeight="1" x14ac:dyDescent="0.35">
      <c r="B111" s="67" t="s">
        <v>163</v>
      </c>
      <c r="C111" s="67"/>
      <c r="D111" s="67"/>
      <c r="E111" s="39">
        <f>E108+E110</f>
        <v>863.87019230769238</v>
      </c>
    </row>
    <row r="112" spans="2:5" ht="6" customHeight="1" x14ac:dyDescent="0.35"/>
    <row r="113" spans="2:5" ht="18" customHeight="1" x14ac:dyDescent="0.35">
      <c r="B113" s="21" t="s">
        <v>164</v>
      </c>
      <c r="C113" s="23"/>
      <c r="D113" s="22" t="s">
        <v>66</v>
      </c>
      <c r="E113" s="28">
        <f>IF(C101&gt;1,E111/C101,E111)</f>
        <v>863.87019230769238</v>
      </c>
    </row>
    <row r="114" spans="2:5" ht="18" customHeight="1" x14ac:dyDescent="0.35">
      <c r="B114" s="21" t="s">
        <v>165</v>
      </c>
      <c r="C114" s="23"/>
      <c r="D114" s="22" t="s">
        <v>66</v>
      </c>
      <c r="E114" s="28">
        <f>IF((1-C63-C65)=0,0,E60/(1-C63-C65)*(1+E109))</f>
        <v>756.25</v>
      </c>
    </row>
    <row r="115" spans="2:5" ht="6" customHeight="1" x14ac:dyDescent="0.35"/>
    <row r="116" spans="2:5" ht="19.5" customHeight="1" x14ac:dyDescent="0.35">
      <c r="B116" s="58" t="s">
        <v>166</v>
      </c>
      <c r="C116" s="58"/>
      <c r="D116" s="58"/>
      <c r="E116" s="58"/>
    </row>
    <row r="117" spans="2:5" ht="18" customHeight="1" x14ac:dyDescent="0.35">
      <c r="B117" s="24" t="s">
        <v>167</v>
      </c>
      <c r="C117" s="23"/>
      <c r="D117" s="22" t="s">
        <v>42</v>
      </c>
      <c r="E117" s="40">
        <f>IF(E111=0,0,(E111-E60*(1+E109))/E111)</f>
        <v>0.29966329966329974</v>
      </c>
    </row>
    <row r="118" spans="2:5" ht="18" customHeight="1" x14ac:dyDescent="0.35">
      <c r="B118" s="24" t="s">
        <v>168</v>
      </c>
      <c r="C118" s="23"/>
      <c r="D118" s="22" t="s">
        <v>66</v>
      </c>
      <c r="E118" s="41">
        <f>E108-E60</f>
        <v>213.94230769230774</v>
      </c>
    </row>
    <row r="119" spans="2:5" ht="18" customHeight="1" x14ac:dyDescent="0.35">
      <c r="B119" s="21" t="s">
        <v>169</v>
      </c>
      <c r="C119" s="23"/>
      <c r="D119" s="22" t="s">
        <v>66</v>
      </c>
      <c r="E119" s="42">
        <f>E111-IF((1-C63-C65)=0,0,E60/(1-C63-C65)*(1+E109))</f>
        <v>107.62019230769238</v>
      </c>
    </row>
    <row r="120" spans="2:5" ht="18" customHeight="1" x14ac:dyDescent="0.35">
      <c r="B120" s="21" t="s">
        <v>170</v>
      </c>
      <c r="C120" s="23"/>
      <c r="D120" s="22" t="s">
        <v>66</v>
      </c>
      <c r="E120" s="42">
        <f>IF(E89=0,0,E111-E89)</f>
        <v>0</v>
      </c>
    </row>
    <row r="121" spans="2:5" ht="9.75" customHeight="1" x14ac:dyDescent="0.35"/>
    <row r="122" spans="2:5" ht="24" customHeight="1" x14ac:dyDescent="0.35">
      <c r="B122" s="65" t="s">
        <v>171</v>
      </c>
      <c r="C122" s="65"/>
      <c r="D122" s="65"/>
      <c r="E122" s="65"/>
    </row>
  </sheetData>
  <mergeCells count="21">
    <mergeCell ref="B1:E2"/>
    <mergeCell ref="B4:E4"/>
    <mergeCell ref="B5:E5"/>
    <mergeCell ref="B9:E9"/>
    <mergeCell ref="B25:C25"/>
    <mergeCell ref="B26:E26"/>
    <mergeCell ref="B33:C33"/>
    <mergeCell ref="B35:E35"/>
    <mergeCell ref="B50:E50"/>
    <mergeCell ref="B60:C60"/>
    <mergeCell ref="B62:E62"/>
    <mergeCell ref="B69:E69"/>
    <mergeCell ref="B70:E70"/>
    <mergeCell ref="B80:E80"/>
    <mergeCell ref="B84:E84"/>
    <mergeCell ref="B122:E122"/>
    <mergeCell ref="B91:E91"/>
    <mergeCell ref="B99:E99"/>
    <mergeCell ref="B103:E103"/>
    <mergeCell ref="B111:D111"/>
    <mergeCell ref="B116:E1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87"/>
  <sheetViews>
    <sheetView showGridLines="0" zoomScaleNormal="100" workbookViewId="0">
      <selection activeCell="C39" sqref="C39"/>
    </sheetView>
  </sheetViews>
  <sheetFormatPr defaultColWidth="8.6328125" defaultRowHeight="14.5" x14ac:dyDescent="0.35"/>
  <cols>
    <col min="1" max="1" width="2" customWidth="1"/>
    <col min="2" max="2" width="64.08984375" bestFit="1" customWidth="1"/>
    <col min="3" max="3" width="18" customWidth="1"/>
    <col min="4" max="4" width="12" customWidth="1"/>
    <col min="5" max="5" width="14" customWidth="1"/>
    <col min="6" max="6" width="2" customWidth="1"/>
  </cols>
  <sheetData>
    <row r="1" spans="2:5" ht="19.5" customHeight="1" x14ac:dyDescent="0.35">
      <c r="B1" s="55" t="s">
        <v>179</v>
      </c>
      <c r="C1" s="55"/>
      <c r="D1" s="55"/>
      <c r="E1" s="55"/>
    </row>
    <row r="2" spans="2:5" ht="19.5" customHeight="1" x14ac:dyDescent="0.35">
      <c r="B2" s="55"/>
      <c r="C2" s="55"/>
      <c r="D2" s="55"/>
      <c r="E2" s="55"/>
    </row>
    <row r="3" spans="2:5" ht="7.5" customHeight="1" x14ac:dyDescent="0.35"/>
    <row r="4" spans="2:5" ht="21.75" customHeight="1" x14ac:dyDescent="0.35">
      <c r="B4" s="66" t="s">
        <v>180</v>
      </c>
      <c r="C4" s="66"/>
      <c r="D4" s="66"/>
      <c r="E4" s="66"/>
    </row>
    <row r="5" spans="2:5" ht="18" customHeight="1" x14ac:dyDescent="0.35">
      <c r="B5" s="21" t="s">
        <v>181</v>
      </c>
      <c r="C5" s="15">
        <v>0</v>
      </c>
      <c r="D5" s="22" t="s">
        <v>182</v>
      </c>
      <c r="E5" s="23"/>
    </row>
    <row r="6" spans="2:5" ht="18" customHeight="1" x14ac:dyDescent="0.35">
      <c r="B6" s="21" t="s">
        <v>183</v>
      </c>
      <c r="C6" s="15">
        <v>0</v>
      </c>
      <c r="D6" s="22" t="s">
        <v>182</v>
      </c>
      <c r="E6" s="23"/>
    </row>
    <row r="7" spans="2:5" ht="18" customHeight="1" x14ac:dyDescent="0.35">
      <c r="B7" s="21" t="s">
        <v>184</v>
      </c>
      <c r="C7" s="15">
        <v>0</v>
      </c>
      <c r="D7" s="22" t="s">
        <v>182</v>
      </c>
      <c r="E7" s="23"/>
    </row>
    <row r="8" spans="2:5" ht="18" customHeight="1" x14ac:dyDescent="0.35">
      <c r="B8" s="21" t="s">
        <v>185</v>
      </c>
      <c r="C8" s="15">
        <v>0</v>
      </c>
      <c r="D8" s="22" t="s">
        <v>182</v>
      </c>
      <c r="E8" s="23"/>
    </row>
    <row r="9" spans="2:5" ht="18" customHeight="1" x14ac:dyDescent="0.35">
      <c r="B9" s="21" t="s">
        <v>186</v>
      </c>
      <c r="C9" s="15">
        <v>0</v>
      </c>
      <c r="D9" s="22" t="s">
        <v>182</v>
      </c>
      <c r="E9" s="23"/>
    </row>
    <row r="10" spans="2:5" ht="19.5" customHeight="1" x14ac:dyDescent="0.35">
      <c r="B10" s="71" t="s">
        <v>187</v>
      </c>
      <c r="C10" s="71"/>
      <c r="D10" s="22" t="s">
        <v>66</v>
      </c>
      <c r="E10" s="25">
        <f>SUM(C5:C9)</f>
        <v>0</v>
      </c>
    </row>
    <row r="11" spans="2:5" ht="6" customHeight="1" x14ac:dyDescent="0.35"/>
    <row r="12" spans="2:5" ht="21.75" customHeight="1" x14ac:dyDescent="0.35">
      <c r="B12" s="66" t="s">
        <v>188</v>
      </c>
      <c r="C12" s="66"/>
      <c r="D12" s="66"/>
      <c r="E12" s="66"/>
    </row>
    <row r="13" spans="2:5" ht="18" customHeight="1" x14ac:dyDescent="0.35">
      <c r="B13" s="21" t="s">
        <v>189</v>
      </c>
      <c r="C13" s="15">
        <v>0</v>
      </c>
      <c r="D13" s="22" t="s">
        <v>182</v>
      </c>
      <c r="E13" s="23"/>
    </row>
    <row r="14" spans="2:5" ht="18" customHeight="1" x14ac:dyDescent="0.35">
      <c r="B14" s="21" t="s">
        <v>190</v>
      </c>
      <c r="C14" s="15">
        <v>0</v>
      </c>
      <c r="D14" s="22" t="s">
        <v>182</v>
      </c>
      <c r="E14" s="23"/>
    </row>
    <row r="15" spans="2:5" ht="18" customHeight="1" x14ac:dyDescent="0.35">
      <c r="B15" s="21" t="s">
        <v>191</v>
      </c>
      <c r="C15" s="15">
        <v>0</v>
      </c>
      <c r="D15" s="22" t="s">
        <v>182</v>
      </c>
      <c r="E15" s="23"/>
    </row>
    <row r="16" spans="2:5" ht="18" customHeight="1" x14ac:dyDescent="0.35">
      <c r="B16" s="21" t="s">
        <v>192</v>
      </c>
      <c r="C16" s="15">
        <v>0</v>
      </c>
      <c r="D16" s="22" t="s">
        <v>182</v>
      </c>
      <c r="E16" s="23"/>
    </row>
    <row r="17" spans="2:5" ht="19.5" customHeight="1" x14ac:dyDescent="0.35">
      <c r="B17" s="71" t="s">
        <v>193</v>
      </c>
      <c r="C17" s="71"/>
      <c r="D17" s="22" t="s">
        <v>66</v>
      </c>
      <c r="E17" s="25">
        <f>SUM(C13:C16)</f>
        <v>0</v>
      </c>
    </row>
    <row r="18" spans="2:5" ht="6" customHeight="1" x14ac:dyDescent="0.35"/>
    <row r="19" spans="2:5" ht="21.75" customHeight="1" x14ac:dyDescent="0.35">
      <c r="B19" s="66" t="s">
        <v>194</v>
      </c>
      <c r="C19" s="66"/>
      <c r="D19" s="66"/>
      <c r="E19" s="66"/>
    </row>
    <row r="20" spans="2:5" ht="18" customHeight="1" x14ac:dyDescent="0.35">
      <c r="B20" s="21" t="s">
        <v>97</v>
      </c>
      <c r="C20" s="15">
        <v>0</v>
      </c>
      <c r="D20" s="22" t="s">
        <v>44</v>
      </c>
      <c r="E20" s="23"/>
    </row>
    <row r="21" spans="2:5" ht="18" customHeight="1" x14ac:dyDescent="0.35">
      <c r="B21" s="21" t="s">
        <v>195</v>
      </c>
      <c r="C21" s="15">
        <v>0</v>
      </c>
      <c r="D21" s="22" t="s">
        <v>44</v>
      </c>
      <c r="E21" s="23"/>
    </row>
    <row r="22" spans="2:5" ht="18" customHeight="1" x14ac:dyDescent="0.35">
      <c r="B22" s="21" t="s">
        <v>196</v>
      </c>
      <c r="C22" s="15">
        <v>0</v>
      </c>
      <c r="D22" s="22" t="s">
        <v>44</v>
      </c>
      <c r="E22" s="23"/>
    </row>
    <row r="23" spans="2:5" ht="18" customHeight="1" x14ac:dyDescent="0.35">
      <c r="B23" s="21" t="s">
        <v>197</v>
      </c>
      <c r="C23" s="15">
        <v>0</v>
      </c>
      <c r="D23" s="22" t="s">
        <v>44</v>
      </c>
      <c r="E23" s="23"/>
    </row>
    <row r="24" spans="2:5" ht="18" customHeight="1" x14ac:dyDescent="0.35">
      <c r="B24" s="21" t="s">
        <v>198</v>
      </c>
      <c r="C24" s="15">
        <v>0</v>
      </c>
      <c r="D24" s="22" t="s">
        <v>44</v>
      </c>
      <c r="E24" s="23"/>
    </row>
    <row r="25" spans="2:5" ht="18" customHeight="1" x14ac:dyDescent="0.35">
      <c r="B25" s="21" t="s">
        <v>199</v>
      </c>
      <c r="C25" s="36">
        <v>100</v>
      </c>
      <c r="D25" s="22" t="s">
        <v>200</v>
      </c>
      <c r="E25" s="23"/>
    </row>
    <row r="26" spans="2:5" ht="18" customHeight="1" x14ac:dyDescent="0.35">
      <c r="B26" s="24" t="s">
        <v>201</v>
      </c>
      <c r="C26" s="23"/>
      <c r="D26" s="22" t="s">
        <v>66</v>
      </c>
      <c r="E26" s="25">
        <f>SUM(C20:C24)</f>
        <v>0</v>
      </c>
    </row>
    <row r="27" spans="2:5" ht="18" customHeight="1" x14ac:dyDescent="0.35">
      <c r="B27" s="24" t="s">
        <v>202</v>
      </c>
      <c r="C27" s="23"/>
      <c r="D27" s="22" t="s">
        <v>66</v>
      </c>
      <c r="E27" s="25">
        <f>IF(C25=0,0,E26/C25)</f>
        <v>0</v>
      </c>
    </row>
    <row r="28" spans="2:5" ht="6" customHeight="1" x14ac:dyDescent="0.35"/>
    <row r="29" spans="2:5" ht="21.75" customHeight="1" x14ac:dyDescent="0.35">
      <c r="B29" s="66" t="s">
        <v>203</v>
      </c>
      <c r="C29" s="66"/>
      <c r="D29" s="66"/>
      <c r="E29" s="66"/>
    </row>
    <row r="30" spans="2:5" ht="18" customHeight="1" x14ac:dyDescent="0.35">
      <c r="B30" s="21" t="s">
        <v>204</v>
      </c>
      <c r="C30" s="32">
        <v>0.21</v>
      </c>
      <c r="D30" s="22" t="s">
        <v>42</v>
      </c>
      <c r="E30" s="23"/>
    </row>
    <row r="31" spans="2:5" ht="18" customHeight="1" x14ac:dyDescent="0.35">
      <c r="B31" s="21" t="s">
        <v>205</v>
      </c>
      <c r="C31" s="32">
        <v>0</v>
      </c>
      <c r="D31" s="22" t="s">
        <v>42</v>
      </c>
      <c r="E31" s="23"/>
    </row>
    <row r="32" spans="2:5" ht="6" customHeight="1" x14ac:dyDescent="0.35"/>
    <row r="33" spans="2:5" ht="18" customHeight="1" x14ac:dyDescent="0.35">
      <c r="B33" s="24" t="s">
        <v>206</v>
      </c>
      <c r="C33" s="23"/>
      <c r="D33" s="22" t="s">
        <v>66</v>
      </c>
      <c r="E33" s="29">
        <f>E10+E17+E27</f>
        <v>0</v>
      </c>
    </row>
    <row r="34" spans="2:5" ht="6" customHeight="1" x14ac:dyDescent="0.35"/>
    <row r="35" spans="2:5" ht="21.75" customHeight="1" x14ac:dyDescent="0.35">
      <c r="B35" s="66" t="s">
        <v>207</v>
      </c>
      <c r="C35" s="66"/>
      <c r="D35" s="66"/>
      <c r="E35" s="66"/>
    </row>
    <row r="36" spans="2:5" ht="18" customHeight="1" x14ac:dyDescent="0.35">
      <c r="B36" s="21" t="s">
        <v>208</v>
      </c>
      <c r="C36" s="33">
        <v>0.4</v>
      </c>
      <c r="D36" s="22" t="s">
        <v>42</v>
      </c>
      <c r="E36" s="23"/>
    </row>
    <row r="37" spans="2:5" ht="18" customHeight="1" x14ac:dyDescent="0.35">
      <c r="B37" s="21" t="s">
        <v>209</v>
      </c>
      <c r="C37" s="32">
        <v>0.2</v>
      </c>
      <c r="D37" s="22" t="s">
        <v>42</v>
      </c>
      <c r="E37" s="23"/>
    </row>
    <row r="38" spans="2:5" ht="18" customHeight="1" x14ac:dyDescent="0.35">
      <c r="B38" s="21" t="s">
        <v>210</v>
      </c>
      <c r="C38" s="32">
        <v>0.05</v>
      </c>
      <c r="D38" s="22" t="s">
        <v>42</v>
      </c>
      <c r="E38" s="23"/>
    </row>
    <row r="39" spans="2:5" ht="18" customHeight="1" x14ac:dyDescent="0.35">
      <c r="B39" s="24" t="s">
        <v>119</v>
      </c>
      <c r="C39" s="23"/>
      <c r="D39" s="22" t="s">
        <v>42</v>
      </c>
      <c r="E39" s="34">
        <f>C36+C38</f>
        <v>0.45</v>
      </c>
    </row>
    <row r="40" spans="2:5" ht="18" customHeight="1" x14ac:dyDescent="0.35">
      <c r="B40" s="24" t="s">
        <v>211</v>
      </c>
      <c r="C40" s="23"/>
      <c r="D40" s="22" t="s">
        <v>66</v>
      </c>
      <c r="E40" s="35">
        <f>IF((1-E39)=0,0,E33/(1-E39))</f>
        <v>0</v>
      </c>
    </row>
    <row r="41" spans="2:5" ht="6" customHeight="1" x14ac:dyDescent="0.35"/>
    <row r="42" spans="2:5" ht="21.75" customHeight="1" x14ac:dyDescent="0.35">
      <c r="B42" s="66" t="s">
        <v>212</v>
      </c>
      <c r="C42" s="66"/>
      <c r="D42" s="66"/>
      <c r="E42" s="66"/>
    </row>
    <row r="43" spans="2:5" ht="21.75" customHeight="1" x14ac:dyDescent="0.35">
      <c r="B43" s="68" t="s">
        <v>213</v>
      </c>
      <c r="C43" s="68"/>
      <c r="D43" s="68"/>
      <c r="E43" s="68"/>
    </row>
    <row r="44" spans="2:5" ht="18" customHeight="1" x14ac:dyDescent="0.35">
      <c r="B44" s="21" t="s">
        <v>214</v>
      </c>
      <c r="C44" s="12">
        <v>3</v>
      </c>
      <c r="D44" s="22" t="s">
        <v>124</v>
      </c>
      <c r="E44" s="23"/>
    </row>
    <row r="45" spans="2:5" ht="18" customHeight="1" x14ac:dyDescent="0.35">
      <c r="B45" s="21" t="s">
        <v>215</v>
      </c>
      <c r="C45" s="12">
        <v>3</v>
      </c>
      <c r="D45" s="22" t="s">
        <v>124</v>
      </c>
      <c r="E45" s="23"/>
    </row>
    <row r="46" spans="2:5" ht="18" customHeight="1" x14ac:dyDescent="0.35">
      <c r="B46" s="21" t="s">
        <v>216</v>
      </c>
      <c r="C46" s="12">
        <v>3</v>
      </c>
      <c r="D46" s="22" t="s">
        <v>124</v>
      </c>
      <c r="E46" s="23"/>
    </row>
    <row r="47" spans="2:5" ht="18" customHeight="1" x14ac:dyDescent="0.35">
      <c r="B47" s="21" t="s">
        <v>217</v>
      </c>
      <c r="C47" s="12">
        <v>3</v>
      </c>
      <c r="D47" s="22" t="s">
        <v>124</v>
      </c>
      <c r="E47" s="23"/>
    </row>
    <row r="48" spans="2:5" ht="18" customHeight="1" x14ac:dyDescent="0.35">
      <c r="B48" s="21" t="s">
        <v>218</v>
      </c>
      <c r="C48" s="12">
        <v>3</v>
      </c>
      <c r="D48" s="22" t="s">
        <v>124</v>
      </c>
      <c r="E48" s="23"/>
    </row>
    <row r="49" spans="2:5" ht="18" customHeight="1" x14ac:dyDescent="0.35">
      <c r="B49" s="21" t="s">
        <v>219</v>
      </c>
      <c r="C49" s="12">
        <v>3</v>
      </c>
      <c r="D49" s="22" t="s">
        <v>124</v>
      </c>
      <c r="E49" s="23"/>
    </row>
    <row r="50" spans="2:5" ht="18" customHeight="1" x14ac:dyDescent="0.35">
      <c r="B50" s="24" t="s">
        <v>220</v>
      </c>
      <c r="C50" s="23"/>
      <c r="D50" s="22" t="s">
        <v>131</v>
      </c>
      <c r="E50" s="31">
        <f>AVERAGE(C44:C49)</f>
        <v>3</v>
      </c>
    </row>
    <row r="51" spans="2:5" ht="18" customHeight="1" x14ac:dyDescent="0.35">
      <c r="B51" s="24" t="s">
        <v>132</v>
      </c>
      <c r="C51" s="23"/>
      <c r="D51" s="22" t="s">
        <v>133</v>
      </c>
      <c r="E51" s="35">
        <f>1+(E50-1)*0.5/4</f>
        <v>1.25</v>
      </c>
    </row>
    <row r="52" spans="2:5" ht="6" customHeight="1" x14ac:dyDescent="0.35"/>
    <row r="53" spans="2:5" ht="21.75" customHeight="1" x14ac:dyDescent="0.35">
      <c r="B53" s="66" t="s">
        <v>138</v>
      </c>
      <c r="C53" s="66"/>
      <c r="D53" s="66"/>
      <c r="E53" s="66"/>
    </row>
    <row r="54" spans="2:5" ht="18" customHeight="1" x14ac:dyDescent="0.35">
      <c r="B54" s="21" t="s">
        <v>221</v>
      </c>
      <c r="C54" s="15">
        <v>0</v>
      </c>
      <c r="D54" s="22" t="s">
        <v>66</v>
      </c>
      <c r="E54" s="23"/>
    </row>
    <row r="55" spans="2:5" ht="18" customHeight="1" x14ac:dyDescent="0.35">
      <c r="B55" s="21" t="s">
        <v>222</v>
      </c>
      <c r="C55" s="15">
        <v>0</v>
      </c>
      <c r="D55" s="22" t="s">
        <v>66</v>
      </c>
      <c r="E55" s="23"/>
    </row>
    <row r="56" spans="2:5" ht="18" customHeight="1" x14ac:dyDescent="0.35">
      <c r="B56" s="21" t="s">
        <v>223</v>
      </c>
      <c r="C56" s="15">
        <v>0</v>
      </c>
      <c r="D56" s="22" t="s">
        <v>66</v>
      </c>
      <c r="E56" s="23"/>
    </row>
    <row r="57" spans="2:5" ht="18" customHeight="1" x14ac:dyDescent="0.35">
      <c r="B57" s="21" t="s">
        <v>224</v>
      </c>
      <c r="C57" s="12">
        <v>3</v>
      </c>
      <c r="D57" s="22" t="s">
        <v>124</v>
      </c>
      <c r="E57" s="23"/>
    </row>
    <row r="58" spans="2:5" ht="18" customHeight="1" x14ac:dyDescent="0.35">
      <c r="B58" s="21" t="s">
        <v>225</v>
      </c>
      <c r="C58" s="36">
        <v>2</v>
      </c>
      <c r="D58" s="22" t="s">
        <v>136</v>
      </c>
      <c r="E58" s="23"/>
    </row>
    <row r="59" spans="2:5" ht="18" customHeight="1" x14ac:dyDescent="0.35">
      <c r="B59" s="24" t="s">
        <v>226</v>
      </c>
      <c r="C59" s="23"/>
      <c r="D59" s="22" t="s">
        <v>66</v>
      </c>
      <c r="E59" s="25">
        <f>IFERROR(AVERAGEIF(C54:C56,"&gt;0"),0)</f>
        <v>0</v>
      </c>
    </row>
    <row r="60" spans="2:5" ht="18" customHeight="1" x14ac:dyDescent="0.35">
      <c r="B60" s="24" t="s">
        <v>227</v>
      </c>
      <c r="C60" s="23"/>
      <c r="D60" s="22" t="s">
        <v>133</v>
      </c>
      <c r="E60" s="35">
        <f>0.85+(E58-1)*0.175</f>
        <v>0.67500000000000004</v>
      </c>
    </row>
    <row r="61" spans="2:5" ht="6" customHeight="1" x14ac:dyDescent="0.35"/>
    <row r="62" spans="2:5" ht="21.75" customHeight="1" x14ac:dyDescent="0.35">
      <c r="B62" s="66" t="s">
        <v>228</v>
      </c>
      <c r="C62" s="66"/>
      <c r="D62" s="66"/>
      <c r="E62" s="66"/>
    </row>
    <row r="63" spans="2:5" ht="18" customHeight="1" x14ac:dyDescent="0.35">
      <c r="B63" s="21" t="s">
        <v>229</v>
      </c>
      <c r="C63" s="36">
        <v>2</v>
      </c>
      <c r="D63" s="22" t="s">
        <v>230</v>
      </c>
      <c r="E63" s="23"/>
    </row>
    <row r="64" spans="2:5" ht="18" customHeight="1" x14ac:dyDescent="0.35">
      <c r="B64" s="24" t="s">
        <v>231</v>
      </c>
      <c r="C64" s="23"/>
      <c r="D64" s="22" t="s">
        <v>133</v>
      </c>
      <c r="E64" s="35">
        <f>IF(C63=1,1.1,IF(C63=2,1.05,IF(C63=3,1,0.8)))</f>
        <v>1.05</v>
      </c>
    </row>
    <row r="65" spans="2:5" ht="6" customHeight="1" x14ac:dyDescent="0.35"/>
    <row r="66" spans="2:5" ht="21.75" customHeight="1" x14ac:dyDescent="0.35">
      <c r="B66" s="66" t="s">
        <v>232</v>
      </c>
      <c r="C66" s="66"/>
      <c r="D66" s="66"/>
      <c r="E66" s="66"/>
    </row>
    <row r="67" spans="2:5" ht="18" customHeight="1" x14ac:dyDescent="0.35">
      <c r="B67" s="21" t="s">
        <v>233</v>
      </c>
      <c r="C67" s="36">
        <v>1</v>
      </c>
      <c r="D67" s="22" t="s">
        <v>124</v>
      </c>
      <c r="E67" s="23"/>
    </row>
    <row r="68" spans="2:5" ht="18" customHeight="1" x14ac:dyDescent="0.35">
      <c r="B68" s="21" t="s">
        <v>234</v>
      </c>
      <c r="C68" s="32">
        <v>0</v>
      </c>
      <c r="D68" s="22" t="s">
        <v>42</v>
      </c>
      <c r="E68" s="23"/>
    </row>
    <row r="69" spans="2:5" ht="18" customHeight="1" x14ac:dyDescent="0.35">
      <c r="B69" s="24" t="s">
        <v>235</v>
      </c>
      <c r="C69" s="23"/>
      <c r="D69" s="22" t="s">
        <v>133</v>
      </c>
      <c r="E69" s="35">
        <f>1/(1-C68)</f>
        <v>1</v>
      </c>
    </row>
    <row r="70" spans="2:5" ht="6" customHeight="1" x14ac:dyDescent="0.35"/>
    <row r="71" spans="2:5" ht="21.75" customHeight="1" x14ac:dyDescent="0.35">
      <c r="B71" s="66" t="s">
        <v>155</v>
      </c>
      <c r="C71" s="66"/>
      <c r="D71" s="66"/>
      <c r="E71" s="66"/>
    </row>
    <row r="72" spans="2:5" ht="18" customHeight="1" x14ac:dyDescent="0.35">
      <c r="B72" s="24" t="s">
        <v>236</v>
      </c>
      <c r="C72" s="23"/>
      <c r="D72" s="22" t="s">
        <v>66</v>
      </c>
      <c r="E72" s="35">
        <f>E40</f>
        <v>0</v>
      </c>
    </row>
    <row r="73" spans="2:5" ht="18" customHeight="1" x14ac:dyDescent="0.35">
      <c r="B73" s="24" t="s">
        <v>237</v>
      </c>
      <c r="C73" s="23"/>
      <c r="D73" s="22" t="s">
        <v>66</v>
      </c>
      <c r="E73" s="35">
        <f>E72*E51</f>
        <v>0</v>
      </c>
    </row>
    <row r="74" spans="2:5" ht="18" customHeight="1" x14ac:dyDescent="0.35">
      <c r="B74" s="24" t="s">
        <v>238</v>
      </c>
      <c r="C74" s="23"/>
      <c r="D74" s="22" t="s">
        <v>66</v>
      </c>
      <c r="E74" s="35">
        <f>E73*E60</f>
        <v>0</v>
      </c>
    </row>
    <row r="75" spans="2:5" ht="18" customHeight="1" x14ac:dyDescent="0.35">
      <c r="B75" s="24" t="s">
        <v>239</v>
      </c>
      <c r="C75" s="23"/>
      <c r="D75" s="22" t="s">
        <v>66</v>
      </c>
      <c r="E75" s="35">
        <f>E74*E64</f>
        <v>0</v>
      </c>
    </row>
    <row r="76" spans="2:5" ht="18" customHeight="1" x14ac:dyDescent="0.35">
      <c r="B76" s="24" t="s">
        <v>240</v>
      </c>
      <c r="C76" s="23"/>
      <c r="D76" s="22" t="s">
        <v>66</v>
      </c>
      <c r="E76" s="35">
        <f>E75*E69</f>
        <v>0</v>
      </c>
    </row>
    <row r="77" spans="2:5" ht="18" customHeight="1" x14ac:dyDescent="0.35">
      <c r="B77" s="21" t="s">
        <v>161</v>
      </c>
      <c r="C77" s="23"/>
      <c r="D77" s="22" t="s">
        <v>42</v>
      </c>
      <c r="E77" s="38">
        <f>'🏠 Portada'!C10/100</f>
        <v>0.21</v>
      </c>
    </row>
    <row r="78" spans="2:5" ht="18" customHeight="1" x14ac:dyDescent="0.35">
      <c r="B78" s="21" t="s">
        <v>162</v>
      </c>
      <c r="C78" s="23"/>
      <c r="D78" s="22" t="s">
        <v>66</v>
      </c>
      <c r="E78" s="28">
        <f>E76*E77</f>
        <v>0</v>
      </c>
    </row>
    <row r="79" spans="2:5" ht="25.5" customHeight="1" x14ac:dyDescent="0.35">
      <c r="B79" s="67" t="s">
        <v>241</v>
      </c>
      <c r="C79" s="67"/>
      <c r="D79" s="67"/>
      <c r="E79" s="39">
        <f>E76+E78</f>
        <v>0</v>
      </c>
    </row>
    <row r="80" spans="2:5" ht="6" customHeight="1" x14ac:dyDescent="0.35"/>
    <row r="81" spans="2:5" ht="18" customHeight="1" x14ac:dyDescent="0.35">
      <c r="B81" s="21" t="s">
        <v>242</v>
      </c>
      <c r="C81" s="23"/>
      <c r="D81" s="22" t="s">
        <v>66</v>
      </c>
      <c r="E81" s="28">
        <f>IF((1-C37)=0,0,E33/(1-C37)*(1+E77))</f>
        <v>0</v>
      </c>
    </row>
    <row r="82" spans="2:5" ht="18" customHeight="1" x14ac:dyDescent="0.35">
      <c r="B82" s="21" t="s">
        <v>243</v>
      </c>
      <c r="C82" s="23"/>
      <c r="D82" s="22" t="s">
        <v>66</v>
      </c>
      <c r="E82" s="28">
        <f>IF(E59=0,0,E76+E78-E59)</f>
        <v>0</v>
      </c>
    </row>
    <row r="83" spans="2:5" ht="6" customHeight="1" x14ac:dyDescent="0.35"/>
    <row r="84" spans="2:5" ht="19.5" customHeight="1" x14ac:dyDescent="0.35">
      <c r="B84" s="58" t="s">
        <v>166</v>
      </c>
      <c r="C84" s="58"/>
      <c r="D84" s="58"/>
      <c r="E84" s="58"/>
    </row>
    <row r="85" spans="2:5" ht="18" customHeight="1" x14ac:dyDescent="0.35">
      <c r="B85" s="24" t="s">
        <v>244</v>
      </c>
      <c r="C85" s="23"/>
      <c r="D85" s="22" t="s">
        <v>42</v>
      </c>
      <c r="E85" s="40">
        <f>IF(E76=0,0,(E76-E33)/E76)</f>
        <v>0</v>
      </c>
    </row>
    <row r="86" spans="2:5" ht="18" customHeight="1" x14ac:dyDescent="0.35">
      <c r="B86" s="24" t="s">
        <v>245</v>
      </c>
      <c r="C86" s="23"/>
      <c r="D86" s="22" t="s">
        <v>66</v>
      </c>
      <c r="E86" s="41">
        <f>E76-E33</f>
        <v>0</v>
      </c>
    </row>
    <row r="87" spans="2:5" ht="18" customHeight="1" x14ac:dyDescent="0.35">
      <c r="B87" s="21" t="s">
        <v>246</v>
      </c>
      <c r="C87" s="23"/>
      <c r="D87" s="22" t="s">
        <v>66</v>
      </c>
      <c r="E87" s="42">
        <f>C25*(E76+E78)</f>
        <v>0</v>
      </c>
    </row>
  </sheetData>
  <mergeCells count="16">
    <mergeCell ref="B1:E2"/>
    <mergeCell ref="B4:E4"/>
    <mergeCell ref="B10:C10"/>
    <mergeCell ref="B12:E12"/>
    <mergeCell ref="B17:C17"/>
    <mergeCell ref="B19:E19"/>
    <mergeCell ref="B29:E29"/>
    <mergeCell ref="B35:E35"/>
    <mergeCell ref="B42:E42"/>
    <mergeCell ref="B43:E43"/>
    <mergeCell ref="B84:E84"/>
    <mergeCell ref="B53:E53"/>
    <mergeCell ref="B62:E62"/>
    <mergeCell ref="B66:E66"/>
    <mergeCell ref="B71:E71"/>
    <mergeCell ref="B79:D7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9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5" width="18" customWidth="1"/>
    <col min="6" max="6" width="3" customWidth="1"/>
  </cols>
  <sheetData>
    <row r="1" spans="2:5" ht="19.5" customHeight="1" x14ac:dyDescent="0.35">
      <c r="B1" s="55" t="s">
        <v>247</v>
      </c>
      <c r="C1" s="55"/>
      <c r="D1" s="55"/>
      <c r="E1" s="55"/>
    </row>
    <row r="2" spans="2:5" ht="19.5" customHeight="1" x14ac:dyDescent="0.35">
      <c r="B2" s="55"/>
      <c r="C2" s="55"/>
      <c r="D2" s="55"/>
      <c r="E2" s="55"/>
    </row>
    <row r="3" spans="2:5" ht="7.5" customHeight="1" x14ac:dyDescent="0.35"/>
    <row r="4" spans="2:5" ht="18" customHeight="1" x14ac:dyDescent="0.35">
      <c r="B4" s="72" t="s">
        <v>248</v>
      </c>
      <c r="C4" s="72"/>
      <c r="D4" s="72"/>
      <c r="E4" s="72"/>
    </row>
    <row r="5" spans="2:5" ht="7.5" customHeight="1" x14ac:dyDescent="0.35"/>
    <row r="6" spans="2:5" ht="21.75" customHeight="1" x14ac:dyDescent="0.35">
      <c r="B6" s="43" t="s">
        <v>249</v>
      </c>
      <c r="C6" s="43" t="s">
        <v>250</v>
      </c>
      <c r="D6" s="43" t="s">
        <v>251</v>
      </c>
    </row>
    <row r="7" spans="2:5" ht="19.5" customHeight="1" x14ac:dyDescent="0.35">
      <c r="B7" s="3" t="s">
        <v>15</v>
      </c>
      <c r="C7" s="44">
        <v>0</v>
      </c>
      <c r="D7" s="45">
        <f>C7*(1+'🏠 Portada'!C10/100)</f>
        <v>0</v>
      </c>
    </row>
    <row r="8" spans="2:5" ht="19.5" customHeight="1" x14ac:dyDescent="0.35">
      <c r="B8" s="4" t="s">
        <v>17</v>
      </c>
      <c r="C8" s="44">
        <v>0</v>
      </c>
      <c r="D8" s="46">
        <f>C8*(1+'🏠 Portada'!C10/100)</f>
        <v>0</v>
      </c>
    </row>
    <row r="9" spans="2:5" ht="19.5" customHeight="1" x14ac:dyDescent="0.35">
      <c r="B9" s="3" t="s">
        <v>19</v>
      </c>
      <c r="C9" s="44">
        <v>0</v>
      </c>
      <c r="D9" s="45">
        <f>C9*(1+'🏠 Portada'!C10/100)</f>
        <v>0</v>
      </c>
    </row>
    <row r="10" spans="2:5" ht="19.5" customHeight="1" x14ac:dyDescent="0.35">
      <c r="B10" s="4" t="s">
        <v>21</v>
      </c>
      <c r="C10" s="44">
        <v>0</v>
      </c>
      <c r="D10" s="46">
        <f>C10*(1+'🏠 Portada'!C10/100)</f>
        <v>0</v>
      </c>
    </row>
    <row r="11" spans="2:5" ht="7.5" customHeight="1" x14ac:dyDescent="0.35"/>
    <row r="12" spans="2:5" ht="21.75" customHeight="1" x14ac:dyDescent="0.35">
      <c r="B12" s="73" t="s">
        <v>252</v>
      </c>
      <c r="C12" s="73"/>
      <c r="D12" s="73"/>
    </row>
    <row r="13" spans="2:5" ht="7.5" customHeight="1" x14ac:dyDescent="0.35"/>
    <row r="14" spans="2:5" ht="21.75" customHeight="1" x14ac:dyDescent="0.35">
      <c r="B14" s="58" t="s">
        <v>253</v>
      </c>
      <c r="C14" s="58"/>
      <c r="D14" s="58"/>
    </row>
    <row r="15" spans="2:5" ht="18" customHeight="1" x14ac:dyDescent="0.35">
      <c r="B15" s="47" t="s">
        <v>249</v>
      </c>
      <c r="C15" s="47" t="s">
        <v>254</v>
      </c>
      <c r="D15" s="47" t="s">
        <v>255</v>
      </c>
    </row>
    <row r="16" spans="2:5" ht="18" customHeight="1" x14ac:dyDescent="0.35">
      <c r="B16" s="48" t="s">
        <v>15</v>
      </c>
      <c r="C16" s="49">
        <f>C7</f>
        <v>0</v>
      </c>
      <c r="D16" s="50" t="str">
        <f>IF(C7=MAX($C$7:$C$10),"✅ Más alto","—")</f>
        <v>✅ Más alto</v>
      </c>
    </row>
    <row r="17" spans="2:4" ht="18" customHeight="1" x14ac:dyDescent="0.35">
      <c r="B17" s="51" t="s">
        <v>17</v>
      </c>
      <c r="C17" s="52">
        <f>C8</f>
        <v>0</v>
      </c>
      <c r="D17" s="53" t="str">
        <f>IF(C8=MAX($C$7:$C$10),"✅ Más alto","—")</f>
        <v>✅ Más alto</v>
      </c>
    </row>
    <row r="18" spans="2:4" ht="18" customHeight="1" x14ac:dyDescent="0.35">
      <c r="B18" s="48" t="s">
        <v>19</v>
      </c>
      <c r="C18" s="49">
        <f>C9</f>
        <v>0</v>
      </c>
      <c r="D18" s="50" t="str">
        <f>IF(C9=MAX($C$7:$C$10),"✅ Más alto","—")</f>
        <v>✅ Más alto</v>
      </c>
    </row>
    <row r="19" spans="2:4" ht="18" customHeight="1" x14ac:dyDescent="0.35">
      <c r="B19" s="51" t="s">
        <v>21</v>
      </c>
      <c r="C19" s="52">
        <f>C10</f>
        <v>0</v>
      </c>
      <c r="D19" s="53" t="str">
        <f>IF(C10=MAX($C$7:$C$10),"✅ Más alto","—")</f>
        <v>✅ Más alto</v>
      </c>
    </row>
  </sheetData>
  <mergeCells count="4">
    <mergeCell ref="B1:E2"/>
    <mergeCell ref="B4:E4"/>
    <mergeCell ref="B12:D12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🏠 Portada</vt:lpstr>
      <vt:lpstr>👥 Equipo</vt:lpstr>
      <vt:lpstr>📚 Formaciones</vt:lpstr>
      <vt:lpstr>🤝 Consultoría</vt:lpstr>
      <vt:lpstr>⚙️ Ingeniería</vt:lpstr>
      <vt:lpstr>📦 Producto</vt:lpstr>
      <vt:lpstr>📊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Diana Guirado López</cp:lastModifiedBy>
  <cp:revision>0</cp:revision>
  <dcterms:created xsi:type="dcterms:W3CDTF">2026-06-09T15:47:13Z</dcterms:created>
  <dcterms:modified xsi:type="dcterms:W3CDTF">2026-06-12T18:50:58Z</dcterms:modified>
  <dc:language>en-US</dc:language>
</cp:coreProperties>
</file>